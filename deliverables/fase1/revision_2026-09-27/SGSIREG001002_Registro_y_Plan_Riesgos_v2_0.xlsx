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2234de639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cbd3563e536d4f4c"/>
    <x:sheet xmlns:r="http://schemas.openxmlformats.org/officeDocument/2006/relationships" name="Criterios" sheetId="2" r:id="R7b0401282d36491b"/>
    <x:sheet xmlns:r="http://schemas.openxmlformats.org/officeDocument/2006/relationships" name="Registro de riesgos" sheetId="3" r:id="R8af932dd20a84325"/>
    <x:sheet xmlns:r="http://schemas.openxmlformats.org/officeDocument/2006/relationships" name="Controles" sheetId="4" r:id="R9fba5e313635442b"/>
    <x:sheet xmlns:r="http://schemas.openxmlformats.org/officeDocument/2006/relationships" name="Plan de tratamiento" sheetId="5" r:id="Rff0de9f446094e91"/>
  </x:sheets>
  <x:definedNames>
    <x:definedName name="_xlnm.Print_Titles" localSheetId="2">'Registro de riesgos'!$A:$A,'Registro de riesgos'!$1:$1</x:definedName>
    <x:definedName name="_xlnm.Print_Titles" localSheetId="3">'Controles'!$A:$A,'Controles'!$1:$1</x:definedName>
    <x:definedName name="_xlnm.Print_Titles" localSheetId="4">'Plan de tratamiento'!$A:$A,'Plan de tratamiento'!$1:$1</x:definedName>
    <x:definedName name="_xlnm.Print_Area" localSheetId="0">'Portada'!$A$1:$A$72</x:definedName>
    <x:definedName name="_xlnm.Print_Area" localSheetId="1">'Criterios'!$A$1:$A$98</x:definedName>
    <x:definedName name="_xlnm.Print_Area" localSheetId="2">'Registro de riesgos'!$A$1:$R$26</x:definedName>
    <x:definedName name="_xlnm.Print_Area" localSheetId="3">'Controles'!$A$1:$N$65</x:definedName>
    <x:definedName name="_xlnm.Print_Area" localSheetId="4">'Plan de tratamiento'!$A$1:$N$22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1F3864"/>
      <x:name val="Calibri"/>
    </x:font>
    <x:font>
      <x:sz val="10"/>
      <x:name val="Calibri"/>
    </x:font>
    <x:font>
      <x:b/>
      <x:sz val="10"/>
      <x:name val="Calibri"/>
    </x:font>
    <x:font>
      <x:b/>
      <x:sz val="10"/>
      <x:color rgb="FFFFFFFF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1F3864"/>
      </x:patternFill>
    </x:fill>
  </x:fills>
  <x:borders count="3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45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 wrapText="1"/>
    </x:xf>
    <x:xf numFmtId="0" fontId="5" fillId="0" borderId="0" xfId="0" applyAlignment="1">
      <x:alignment horizontal="general" vertical="bottom"/>
    </x:xf>
    <x:xf numFmtId="0" fontId="5" fillId="0" borderId="0" xfId="0" applyAlignment="1">
      <x:alignment horizontal="general" vertical="bottom" wrapText="1"/>
    </x:xf>
    <x:xf numFmtId="0" fontId="6" fillId="0" borderId="0" xfId="0" applyAlignment="1">
      <x:alignment horizontal="general" vertical="bottom" wrapText="1"/>
    </x:xf>
    <x:xf numFmtId="0" fontId="5" fillId="0" borderId="0" xfId="0" applyAlignment="1">
      <x:alignment horizontal="general" vertical="top"/>
    </x:xf>
    <x:xf numFmtId="0" fontId="6" fillId="0" borderId="0" xfId="0" applyAlignment="1">
      <x:alignment horizontal="general" vertical="top" wrapText="1"/>
    </x:xf>
    <x:xf numFmtId="0" fontId="5" fillId="0" borderId="0" xfId="0" applyAlignment="1">
      <x:alignment horizontal="general" vertical="top" wrapText="1"/>
    </x:xf>
    <x:xf numFmtId="0" fontId="7" fillId="2" borderId="1" xfId="0" applyAlignment="1">
      <x:alignment horizontal="center" vertical="center" wrapText="1"/>
    </x:xf>
    <x:xf numFmtId="0" fontId="5" fillId="0" borderId="1" xfId="0" applyAlignment="1">
      <x:alignment horizontal="general" vertical="top" wrapText="1"/>
    </x:xf>
    <x:xf numFmtId="0" fontId="5" fillId="0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5" fillId="3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 wrapText="1"/>
    </x:xf>
    <x:xf numFmtId="0" fontId="5" fillId="0" borderId="0" xfId="0" applyAlignment="1">
      <x:alignment horizontal="general" vertical="bottom"/>
    </x:xf>
    <x:xf numFmtId="0" fontId="5" fillId="0" borderId="0" xfId="0" applyAlignment="1">
      <x:alignment horizontal="general" vertical="bottom" wrapText="1"/>
    </x:xf>
    <x:xf numFmtId="0" fontId="6" fillId="0" borderId="0" xfId="0" applyAlignment="1">
      <x:alignment horizontal="general" vertical="bottom" wrapText="1"/>
    </x:xf>
    <x:xf numFmtId="0" fontId="5" fillId="0" borderId="0" xfId="0" applyAlignment="1">
      <x:alignment horizontal="general" vertical="top"/>
    </x:xf>
    <x:xf numFmtId="0" fontId="6" fillId="0" borderId="0" xfId="0" applyAlignment="1">
      <x:alignment horizontal="general" vertical="top" wrapText="1"/>
    </x:xf>
    <x:xf numFmtId="0" fontId="5" fillId="0" borderId="0" xfId="0" applyAlignment="1">
      <x:alignment horizontal="general" vertical="top" wrapText="1"/>
    </x:xf>
    <x:xf numFmtId="0" fontId="7" fillId="2" borderId="1" xfId="0" applyAlignment="1">
      <x:alignment horizontal="center" vertical="center" wrapText="1"/>
    </x:xf>
    <x:xf numFmtId="0" fontId="5" fillId="0" borderId="1" xfId="0" applyAlignment="1">
      <x:alignment horizontal="general" vertical="top" wrapText="1"/>
    </x:xf>
    <x:xf numFmtId="0" fontId="5" fillId="0" borderId="1" xfId="0" applyAlignment="1">
      <x:alignment horizontal="center" vertical="center" wrapText="1"/>
    </x:xf>
    <x:xf numFmtId="0" fontId="5" fillId="3" borderId="1" xfId="0" applyAlignment="1">
      <x:alignment horizontal="center" vertical="center" wrapText="1"/>
    </x:xf>
    <x:xf numFmtId="0" fontId="5" fillId="0" borderId="0" xfId="0" applyAlignment="1">
      <x:alignment horizontal="general" vertical="bottom" wrapText="1"/>
    </x:xf>
    <x:xf numFmtId="0" fontId="4" fillId="0" borderId="0" xfId="0" applyNumberFormat="1" applyFont="1" applyFill="1" applyBorder="1" applyAlignment="1">
      <x:alignment horizontal="general" vertical="bottom" wrapText="1"/>
    </x:xf>
    <x:xf numFmtId="0" fontId="5" fillId="0" borderId="0" xfId="0" applyNumberFormat="1" applyFont="1" applyFill="1" applyBorder="1" applyAlignment="1">
      <x:alignment horizontal="general" vertical="bottom" wrapText="1"/>
    </x:xf>
    <x:xf numFmtId="0" fontId="6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5" fillId="0" borderId="0" xfId="0" applyNumberFormat="1" applyFont="1" applyFill="1" applyBorder="1" applyAlignment="1">
      <x:alignment horizontal="general" vertical="top" wrapText="1"/>
    </x:xf>
    <x:xf numFmtId="0" fontId="6" fillId="0" borderId="0" xfId="0" applyNumberFormat="1" applyFont="1" applyFill="1" applyBorder="1" applyAlignment="1">
      <x:alignment horizontal="general" vertical="top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general" vertical="top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general" vertical="bottom"/>
    </x:xf>
    <x:xf numFmtId="0" fontId="8" fillId="0" borderId="0" xfId="0" applyNumberFormat="1" applyFont="1" applyFill="1" applyBorder="1" applyAlignment="1">
      <x:alignment horizontal="general" vertical="bottom" wrapText="1"/>
    </x:xf>
    <x:xf numFmtId="0" fontId="8" fillId="0" borderId="2" xfId="0" applyNumberFormat="1" applyFont="1" applyFill="1" applyBorder="1" applyAlignment="1">
      <x:alignment horizontal="general" vertical="bottom" wrapText="1"/>
    </x:xf>
    <x:xf numFmtId="0" fontId="8" fillId="4" borderId="2" xfId="0" applyNumberFormat="1" applyFont="1" applyFill="1" applyBorder="1" applyAlignment="1">
      <x:alignment horizontal="general" vertical="bottom" wrapText="1"/>
    </x:xf>
    <x:xf numFmtId="0" fontId="7" fillId="4" borderId="2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top" wrapText="1"/>
    </x:xf>
    <x:xf numFmtId="0" fontId="8" fillId="0" borderId="2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4">
    <x:dxf>
      <x:fill>
        <x:patternFill>
          <x:bgColor rgb="FFFF9999"/>
        </x:patternFill>
      </x:fill>
    </x:dxf>
    <x:dxf>
      <x:fill>
        <x:patternFill>
          <x:bgColor rgb="FFF8CBAD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C6E0B4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6E0B4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E699"/>
      <x:rgbColor rgb="FF99CCFF"/>
      <x:rgbColor rgb="FFFF9999"/>
      <x:rgbColor rgb="FFCC99FF"/>
      <x:rgbColor rgb="FFF8CBAD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5347f38874da1" /><Relationship Type="http://schemas.openxmlformats.org/officeDocument/2006/relationships/theme" Target="/xl/theme/theme1.xml" Id="R25eff7e1c58f42cc" /><Relationship Type="http://schemas.openxmlformats.org/officeDocument/2006/relationships/sharedStrings" Target="/xl/sharedStrings.xml" Id="Rbdd08f63384a4e33" /><Relationship Type="http://schemas.openxmlformats.org/officeDocument/2006/relationships/worksheet" Target="/xl/worksheets/sheet1.xml" Id="Rcbd3563e536d4f4c" /><Relationship Type="http://schemas.openxmlformats.org/officeDocument/2006/relationships/worksheet" Target="/xl/worksheets/sheet2.xml" Id="R7b0401282d36491b" /><Relationship Type="http://schemas.openxmlformats.org/officeDocument/2006/relationships/worksheet" Target="/xl/worksheets/sheet3.xml" Id="R8af932dd20a84325" /><Relationship Type="http://schemas.openxmlformats.org/officeDocument/2006/relationships/worksheet" Target="/xl/worksheets/sheet4.xml" Id="R9fba5e313635442b" /><Relationship Type="http://schemas.openxmlformats.org/officeDocument/2006/relationships/worksheet" Target="/xl/worksheets/sheet5.xml" Id="Rff0de9f446094e9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453125" defaultRowHeight="15"/>
  <x:cols>
    <x:col min="1" max="1" width="92" style="14" customWidth="1"/>
  </x:cols>
  <x:sheetData>
    <x:row r="1" s="15" customFormat="1" ht="15.600000381469727" hidden="0" customHeight="1">
      <x:c r="A1" s="28" t="inlineStr">
        <x:is>
          <x:t xml:space="preserve">SGSI-REG-001 (Registro de Riesgos) y SGSI-REG-002 (Plan de Tratamiento del Riesgo)</x:t>
        </x:is>
      </x:c>
    </x:row>
    <x:row r="2" s="15" customFormat="1" ht="15" hidden="0" customHeight="1">
      <x:c r="A2" s="29" t="n"/>
    </x:row>
    <x:row r="3" s="15" customFormat="1" ht="15" hidden="0" customHeight="1">
      <x:c r="A3" s="29" t="inlineStr">
        <x:is>
          <x:t xml:space="preserve">Organización: Atalaya Gestión Patrimonial SL</x:t>
        </x:is>
      </x:c>
    </x:row>
    <x:row r="4" s="15" customFormat="1" ht="24" hidden="0" customHeight="1">
      <x:c r="A4" s="29" t="str">
        <x:v>Versión: 2.0 | Estado: Borrador | Revisión: 27/09/2026 | Aprobación: pendiente conforme a DOC-002 §4. Fecha de corte sin cambios. Clasificación: Restringida</x:v>
      </x:c>
    </x:row>
    <x:row r="5" s="15" customFormat="1" ht="24" hidden="0" customHeight="1">
      <x:c r="A5" s="29" t="str">
        <x:v>Propietario: Comité de Seguridad Convergente | Autor: el consultor (externo) | Revisión de septiembre pendiente de aprobación; historial anterior conservado.</x:v>
      </x:c>
    </x:row>
    <x:row r="6" s="15" customFormat="1" ht="15" hidden="0" customHeight="1">
      <x:c r="A6" s="29" t="n"/>
    </x:row>
    <x:row r="7" s="15" customFormat="1" ht="15" hidden="0" customHeight="1">
      <x:c r="A7" s="30" t="inlineStr">
        <x:is>
          <x:t xml:space="preserve">Objeto</x:t>
        </x:is>
      </x:c>
    </x:row>
    <x:row r="8" s="15" customFormat="1" ht="15" hidden="0" customHeight="1">
      <x:c r="A8" s="29" t="inlineStr">
        <x:is>
          <x:t xml:space="preserve">Registro previsto en SGSI-DOC-004. Un único libro con dos registros del SGSI: el catálogo de escenarios de riesgo valorados</x:t>
        </x:is>
      </x:c>
    </x:row>
    <x:row r="9" s="15" customFormat="1" ht="15" hidden="0" customHeight="1">
      <x:c r="A9" s="29" t="inlineStr">
        <x:is>
          <x:t xml:space="preserve">(SGSI-REG-001) y el plan de tratamiento con su riesgo residual y su aceptación (SGSI-REG-002). Se mantienen juntos porque</x:t>
        </x:is>
      </x:c>
    </x:row>
    <x:row r="10" s="15" customFormat="1" ht="15" hidden="0" customHeight="1">
      <x:c r="A10" s="29" t="inlineStr">
        <x:is>
          <x:t xml:space="preserve">comparten identificadores y se revisan en el mismo acto; separarlos garantiza que uno de los dos quede desactualizado.</x:t>
        </x:is>
      </x:c>
    </x:row>
    <x:row r="11" s="15" customFormat="1" ht="15" hidden="0" customHeight="1">
      <x:c r="A11" s="29" t="n"/>
    </x:row>
    <x:row r="12" s="15" customFormat="1" ht="15" hidden="0" customHeight="1">
      <x:c r="A12" s="30" t="inlineStr">
        <x:is>
          <x:t xml:space="preserve">Hojas</x:t>
        </x:is>
      </x:c>
    </x:row>
    <x:row r="13" s="15" customFormat="1" ht="15" hidden="0" customHeight="1">
      <x:c r="A13" s="29" t="inlineStr">
        <x:is>
          <x:t xml:space="preserve">«Criterios» — Resumen operativo de SGSI-DOC-004: escalas, anclajes de probabilidad, regla de convergencia, vocabularios y</x:t>
        </x:is>
      </x:c>
    </x:row>
    <x:row r="14" s="15" customFormat="1" ht="15" hidden="0" customHeight="1">
      <x:c r="A14" s="29" t="inlineStr">
        <x:is>
          <x:t xml:space="preserve">estado del sistema a fecha de corte. Es la hoja que hay que leer antes que ninguna otra.</x:t>
        </x:is>
      </x:c>
    </x:row>
    <x:row r="15" s="15" customFormat="1" ht="15" hidden="0" customHeight="1">
      <x:c r="A15" s="29" t="inlineStr">
        <x:is>
          <x:t xml:space="preserve">«Registro de riesgos» — 25 escenarios narrados como cadenas, con interfaz, dominios, valoración por cuatro dimensiones de</x:t>
        </x:is>
      </x:c>
    </x:row>
    <x:row r="16" s="15" customFormat="1" ht="15" hidden="0" customHeight="1">
      <x:c r="A16" s="29" t="inlineStr">
        <x:is>
          <x:t xml:space="preserve">impacto, probabilidad, nivel y decisión de tratamiento.</x:t>
        </x:is>
      </x:c>
    </x:row>
    <x:row r="17" s="15" customFormat="1" ht="15" hidden="0" customHeight="1">
      <x:c r="A17" s="29" t="inlineStr">
        <x:is>
          <x:t xml:space="preserve">«Controles» — 64 controles, uno por fila, con el eslabón de la cadena que rompe, dominio, estado, evidencia, periodicidad de</x:t>
        </x:is>
      </x:c>
    </x:row>
    <x:row r="18" s="15" customFormat="1" ht="15" hidden="0" customHeight="1">
      <x:c r="A18" s="29" t="inlineStr">
        <x:is>
          <x:t xml:space="preserve">verificación y plan al que pertenecen. Una fila por control y no una lista dentro de una celda: es lo que permite que la regla</x:t>
        </x:is>
      </x:c>
    </x:row>
    <x:row r="19" s="15" customFormat="1" ht="15" hidden="0" customHeight="1">
      <x:c r="A19" s="29" t="inlineStr">
        <x:is>
          <x:t xml:space="preserve">de convergencia se verifique por máquina (ver «Criterios», bloque de verificación automática).</x:t>
        </x:is>
      </x:c>
    </x:row>
    <x:row r="20" s="15" customFormat="1" ht="24" hidden="0" customHeight="1">
      <x:c r="A20" s="29" t="inlineStr">
        <x:is>
          <x:t xml:space="preserve">«Plan de tratamiento» — 16 planes con responsable, plazo, riesgo residual estimado, aprobación del plan y aceptación del residual por el propietario del riesgo (ISO/IEC 27001 6.1.3 f) y ratificación del Comité.</x:t>
        </x:is>
      </x:c>
    </x:row>
    <x:row r="21" s="15" customFormat="1" ht="15" hidden="0" customHeight="1">
      <x:c r="A21" s="29" t="n"/>
    </x:row>
    <x:row r="22" s="15" customFormat="1" ht="15" hidden="0" customHeight="1">
      <x:c r="A22" s="30" t="inlineStr">
        <x:is>
          <x:t xml:space="preserve">Historial de versiones</x:t>
        </x:is>
      </x:c>
    </x:row>
    <x:row r="23" s="15" customFormat="1" ht="15" hidden="0" customHeight="1">
      <x:c r="A23" s="29" t="inlineStr">
        <x:is>
          <x:t xml:space="preserve">1.0 | 26/05/2026 | El consultor | Emisión inicial: 17 escenarios y plan de tratamiento asociado.</x:t>
        </x:is>
      </x:c>
    </x:row>
    <x:row r="24" s="15" customFormat="1" ht="15" hidden="0" customHeight="1">
      <x:c r="A24" s="29" t="inlineStr">
        <x:is>
          <x:t xml:space="preserve">1.1 | 24/07/2026 | El consultor | Revalorización de la probabilidad con el anclaje por condiciones de exposición. Alta de los</x:t>
        </x:is>
      </x:c>
    </x:row>
    <x:row r="25" s="15" customFormat="1" ht="15" hidden="0" customHeight="1">
      <x:c r="A25" s="29" t="inlineStr">
        <x:is>
          <x:t xml:space="preserve">      escenarios RSC-018 a RSC-025 (fallos de ejecución y operativa material). Desglose de los controles a fila única con</x:t>
        </x:is>
      </x:c>
    </x:row>
    <x:row r="26" s="15" customFormat="1" ht="15" hidden="0" customHeight="1">
      <x:c r="A26" s="29" t="inlineStr">
        <x:is>
          <x:t xml:space="preserve">      dominio, estado, evidencia y periodicidad de verificación. Aprobada por el Comité el 24/07/2026.</x:t>
        </x:is>
      </x:c>
    </x:row>
    <x:row r="27" s="15" customFormat="1" ht="15" hidden="0" customHeight="1">
      <x:c r="A27" s="29" t="inlineStr">
        <x:is>
          <x:t xml:space="preserve">1.2 | 24/07/2026 | El consultor | Unificación del vocabulario de estado con SGSI-REG-003 y declaración del estado de cobertura</x:t>
        </x:is>
      </x:c>
    </x:row>
    <x:row r="28" s="15" customFormat="1" ht="15" hidden="0" customHeight="1">
      <x:c r="A28" s="29" t="inlineStr">
        <x:is>
          <x:t xml:space="preserve">      a fecha de corte (HD-06). Aprobada por el Comité el 24/07/2026.</x:t>
        </x:is>
      </x:c>
    </x:row>
    <x:row r="29" s="15" customFormat="1" ht="15" hidden="0" customHeight="1">
      <x:c r="A29" s="29" t="inlineStr">
        <x:is>
          <x:t xml:space="preserve">1.3 | 24/07/2026 | El consultor | Verificación documental de cierre, adoptada en la misma sesión: corrección del formato</x:t>
        </x:is>
      </x:c>
    </x:row>
    <x:row r="30" s="15" customFormat="1" ht="15" hidden="0" customHeight="1">
      <x:c r="A30" s="29" t="inlineStr">
        <x:is>
          <x:t xml:space="preserve">      declarado de fecha_ultima_verificacion a DD/MM/AAAA, coherente con el dato del registro y con el validador; alta del</x:t>
        </x:is>
      </x:c>
    </x:row>
    <x:row r="31" s="15" customFormat="1" ht="15" hidden="0" customHeight="1">
      <x:c r="A31" s="29" t="inlineStr">
        <x:is>
          <x:t xml:space="preserve">      bloque de verificación automática de la regla de convergencia en «Criterios»; alta de las columnas de aceptación del</x:t>
        </x:is>
      </x:c>
    </x:row>
    <x:row r="32" s="15" customFormat="1" ht="15" hidden="0" customHeight="1">
      <x:c r="A32" s="29" t="inlineStr">
        <x:is>
          <x:t xml:space="preserve">      riesgo residual en «Plan de tratamiento», exigidas por los criterios de aceptación de SGSI-DOC-004 §4.4 y hasta ahora</x:t>
        </x:is>
      </x:c>
    </x:row>
    <x:row r="33" s="15" customFormat="1" ht="15" hidden="0" customHeight="1">
      <x:c r="A33" s="29" t="inlineStr">
        <x:is>
          <x:t xml:space="preserve">      sin soporte en el registro; y alta de esta portada de control documental. Sin cambios de valoración ni de tratamiento.</x:t>
        </x:is>
      </x:c>
    </x:row>
    <x:row r="34" s="15" customFormat="1" ht="15" hidden="0" customHeight="1">
      <x:c r="A34" s="29" t="inlineStr">
        <x:is>
          <x:t xml:space="preserve">1.4 | 24/07/2026 | El consultor | Revisión de coherencia cruzada: corrección del significado declarado de la columna «Dominios»,</x:t>
        </x:is>
      </x:c>
    </x:row>
    <x:row r="35" s="15" customFormat="1" ht="15" hidden="0" customHeight="1">
      <x:c r="A35" s="29" t="inlineStr">
        <x:is>
          <x:t xml:space="preserve">      que indica los dominios que el escenario atraviesa y no la cobertura prevista (encabezado renombrado a «Dominios del escenario»);</x:t>
        </x:is>
      </x:c>
    </x:row>
    <x:row r="36" s="15" customFormat="1" ht="15" hidden="0" customHeight="1">
      <x:c r="A36" s="29" t="inlineStr">
        <x:is>
          <x:t xml:space="preserve">      normalización del vocabulario de la columna «Interfaz» al de las diez interfaces declaradas en SGSI-DOC-001 §7.4, que hace</x:t>
        </x:is>
      </x:c>
    </x:row>
    <x:row r="37" s="15" customFormat="1" ht="15" hidden="0" customHeight="1">
      <x:c r="A37" s="29" t="inlineStr">
        <x:is>
          <x:t xml:space="preserve">      verificable la regla de completitud en los dos sentidos (cierre efectivo de HD-04); valoración del riesgo residual de los planes</x:t>
        </x:is>
      </x:c>
    </x:row>
    <x:row r="38" s="15" customFormat="1" ht="15" hidden="0" customHeight="1">
      <x:c r="A38" s="29" t="inlineStr">
        <x:is>
          <x:t xml:space="preserve">      que agrupan varios escenarios por regla del máximo, con corrección de PT-09 y PT-13; y reordenación de la fila C-055 en la hoja</x:t>
        </x:is>
      </x:c>
    </x:row>
    <x:row r="39" s="15" customFormat="1" ht="15" hidden="0" customHeight="1">
      <x:c r="A39" s="29" t="inlineStr">
        <x:is>
          <x:t xml:space="preserve">      «Controles». Sin cambios en la valoración inherente ni en la selección de controles. Aprobada por el Comité el 24/07/2026.</x:t>
        </x:is>
      </x:c>
    </x:row>
    <x:row r="40" s="15" customFormat="1" ht="15" hidden="0" customHeight="1">
      <x:c r="A40" s="29" t="inlineStr">
        <x:is>
          <x:t xml:space="preserve">1.5 | 24/07/2026 | El consultor | Revisión de coherencia cruzada de cierre. (a) Renumeración de la columna «Eslabón que</x:t>
        </x:is>
      </x:c>
    </x:row>
    <x:row r="41" s="15" customFormat="1" ht="15" hidden="0" customHeight="1">
      <x:c r="A41" s="29" t="inlineStr">
        <x:is>
          <x:t xml:space="preserve">      rompe» de los controles de RSC-001 a la cadena de seis eslabones de SGSI-DOC-004 Anexo B: C-001, C-002 y C-005 al</x:t>
        </x:is>
      </x:c>
    </x:row>
    <x:row r="42" s="15" customFormat="1" ht="15" hidden="0" customHeight="1">
      <x:c r="A42" s="29" t="inlineStr">
        <x:is>
          <x:t xml:space="preserve">      eslabón 3 y C-003 y C-004 al eslabón 5. La numeración anterior describía una cadena de cuatro eslabones que ningún</x:t>
        </x:is>
      </x:c>
    </x:row>
    <x:row r="43" s="15" customFormat="1" ht="15" hidden="0" customHeight="1">
      <x:c r="A43" s="29" t="inlineStr">
        <x:is>
          <x:t xml:space="preserve">      documento del sistema sostiene, y dejaba sin correspondencia el candado que exige a cada control declarar qué eslabón</x:t>
        </x:is>
      </x:c>
    </x:row>
    <x:row r="44" s="15" customFormat="1" ht="15" hidden="0" customHeight="1">
      <x:c r="A44" s="29" t="inlineStr">
        <x:is>
          <x:t xml:space="preserve">      rompe. (b) Reescritura de la cadena de RSC-001, que conservaba la narrativa retirada en la v2.0 de ESC-001 (captación</x:t>
        </x:is>
      </x:c>
    </x:row>
    <x:row r="45" s="15" customFormat="1" ht="15" hidden="0" customHeight="1">
      <x:c r="A45" s="29" t="inlineStr">
        <x:is>
          <x:t xml:space="preserve">      por redes con un actor único) en lugar del encargo delegado a un intermediario. (c) Corrección del eslabón de detección</x:t>
        </x:is>
      </x:c>
    </x:row>
    <x:row r="46" s="15" customFormat="1" ht="15" hidden="0" customHeight="1">
      <x:c r="A46" s="29" t="inlineStr">
        <x:is>
          <x:t xml:space="preserve">      de 4 a 5 y de la lectura de los eslabones 1 y 2 como carencia, siendo inalcanzables por diseño. (d) Alta del vocabulario</x:t>
        </x:is>
      </x:c>
    </x:row>
    <x:row r="47" s="15" customFormat="1" ht="15" hidden="0" customHeight="1">
      <x:c r="A47" s="29" t="inlineStr">
        <x:is>
          <x:t xml:space="preserve">      de estado de plan y normalización de la columna «Estado» de «Plan de tratamiento», que mantenía el vocabulario que HD-06</x:t>
        </x:is>
      </x:c>
    </x:row>
    <x:row r="48" s="15" customFormat="1" ht="15" hidden="0" customHeight="1">
      <x:c r="A48" s="29" t="inlineStr">
        <x:is>
          <x:t xml:space="preserve">      dio por retirado. (e) Alta de la columna de aprobación del plan por el propietario del riesgo y reformulación de la</x:t>
        </x:is>
      </x:c>
    </x:row>
    <x:row r="49" s="15" customFormat="1" ht="15" hidden="0" customHeight="1">
      <x:c r="A49" s="29" t="inlineStr">
        <x:is>
          <x:t xml:space="preserve">      aceptación del residual, que la norma atribuye al propietario y este registro atribuía solo al Comité (6.1.3 f).</x:t>
        </x:is>
      </x:c>
    </x:row>
    <x:row r="50" s="15" customFormat="1" ht="15" hidden="0" customHeight="1">
      <x:c r="A50" s="29" t="inlineStr">
        <x:is>
          <x:t xml:space="preserve">      (f) Precisión de los dos supuestos del estado PARCIAL, que la definición vigente no distinguía pese a convivir en el</x:t>
        </x:is>
      </x:c>
    </x:row>
    <x:row r="51" s="15" customFormat="1" ht="48" hidden="0" customHeight="1">
      <x:c r="A51" s="29" t="inlineStr">
        <x:is>
          <x:t xml:space="preserve">      registro. (g) Retirada del plazo «mínimo 48 horas» de C-006, que no figura en ningún documento del sistema. (h) Actualización de la columna «ref_27002» de C-021, C-022, C-026, C-032, C-033 y C-052 para que la trazabilidad con SGSI-REG-003 sea simétrica en los dos sentidos, y de la referencia al Anexo A de PT-01, PT-07 y PT-14. (i) Retirada del sufijo «— aprobado» del campo Estado, ajeno al vocabulario de SGSI-DOC-002 §3, y alta del pie de control documental en todas las hojas.</x:t>
        </x:is>
      </x:c>
    </x:row>
    <x:row r="52" s="15" customFormat="1" ht="15" hidden="0" customHeight="1">
      <x:c r="A52" s="29" t="inlineStr">
        <x:is>
          <x:t xml:space="preserve">      Sin cambios en la valoración inherente, en el residual ni en la selección de controles. Aprobada por el Comité el 24/07/2026.</x:t>
        </x:is>
      </x:c>
    </x:row>
    <x:row r="53" s="15" customFormat="1" ht="15" hidden="0" customHeight="1">
      <x:c r="A53" s="29" t="inlineStr">
        <x:is>
          <x:t xml:space="preserve">1.6 | 20/08/2026 | El consultor | Reclasificación de Confidencial a Restringida por aplicación de la regla del</x:t>
        </x:is>
      </x:c>
    </x:row>
    <x:row r="54" s="15" customFormat="1" ht="15" hidden="0" customHeight="1">
      <x:c r="A54" s="29" t="inlineStr">
        <x:is>
          <x:t xml:space="preserve">      nivel superior de SGSI-DOC-002 §5: la propia portada de este registro declara que contiene «la relación</x:t>
        </x:is>
      </x:c>
    </x:row>
    <x:row r="55" s="15" customFormat="1" ht="15" hidden="0" customHeight="1">
      <x:c r="A55" s="29" t="inlineStr">
        <x:is>
          <x:t xml:space="preserve">      completa de vulnerabilidades del sistema de protección de la familia», que es la definición literal de</x:t>
        </x:is>
      </x:c>
    </x:row>
    <x:row r="56" s="15" customFormat="1" ht="15" hidden="0" customHeight="1">
      <x:c r="A56" s="29" t="inlineStr">
        <x:is>
          <x:t xml:space="preserve">      Restringida («su exposición habilita daño directo a personas»). Hallazgo registrado como HD-07 en</x:t>
        </x:is>
      </x:c>
    </x:row>
    <x:row r="57" s="15" customFormat="1" ht="15" hidden="0" customHeight="1">
      <x:c r="A57" s="29" t="inlineStr">
        <x:is>
          <x:t xml:space="preserve">      SGSI-DOC-010 §4.1 y en SGSI-REG-006, con reclasificación en cascada de SGSI-REG-006 (de Interna a</x:t>
        </x:is>
      </x:c>
    </x:row>
    <x:row r="58" s="15" customFormat="1" ht="15" hidden="0" customHeight="1">
      <x:c r="A58" s="29" t="inlineStr">
        <x:is>
          <x:t xml:space="preserve">      Confidencial) y de SGSI-DOC-010 (de Interna a Confidencial), aplicadas en el mismo acto. Sin cambios en</x:t>
        </x:is>
      </x:c>
    </x:row>
    <x:row r="59" s="15" customFormat="1" ht="15" hidden="0" customHeight="1">
      <x:c r="A59" s="29" t="inlineStr">
        <x:is>
          <x:t xml:space="preserve">      la valoración de riesgos, en los controles ni en los planes de tratamiento.</x:t>
        </x:is>
      </x:c>
    </x:row>
    <x:row r="60" s="15" customFormat="1" ht="15" hidden="0" customHeight="1">
      <x:c r="A60" s="29" t="inlineStr">
        <x:is>
          <x:t xml:space="preserve">1.6 | 20/08/2026 | Comité de Seguridad Convergente | Aprobación de la revisión 1.6.</x:t>
        </x:is>
      </x:c>
    </x:row>
    <x:row r="61" s="15" customFormat="1" ht="15" hidden="0" customHeight="1">
      <x:c r="A61" s="29" t="n"/>
    </x:row>
    <x:row r="62" s="15" customFormat="1" ht="15" hidden="0" customHeight="1">
      <x:c r="A62" s="29" t="inlineStr">
        <x:is>
          <x:t xml:space="preserve">Clasificación: Restringida. Este registro contiene la relación completa de vulnerabilidades del sistema de protección de la</x:t>
        </x:is>
      </x:c>
    </x:row>
    <x:row r="63" s="15" customFormat="1" ht="15" hidden="0" customHeight="1">
      <x:c r="A63" s="29" t="inlineStr">
        <x:is>
          <x:t xml:space="preserve">familia. En una organización real no se publica ni se distribuye fuera del Comité. Figura aquí porque el caso es ficticio.</x:t>
        </x:is>
      </x:c>
    </x:row>
    <x:row r="64" s="15" customFormat="1" ht="15" hidden="0" customHeight="1">
      <x:c r="A64" s="29" t="n"/>
    </x:row>
    <x:row r="65" s="15" customFormat="1" ht="24" hidden="0" customHeight="1">
      <x:c r="A65" s="29" t="inlineStr">
        <x:is>
          <x:t xml:space="preserve">Fecha de corte del sistema: 24/07/2026. Aprobado por el Comité de Seguridad Convergente (acta del Comité de 24/07/2026 y 20/08/2026).</x:t>
        </x:is>
      </x:c>
    </x:row>
    <x:row r="66" ht="15" hidden="0" customHeight="1">
      <x:c r="A66" s="31"/>
    </x:row>
    <x:row r="67" ht="39.599998474121094" hidden="0" customHeight="1">
      <x:c r="A67" s="31" t="str">
        <x:v>Revisión de septiembre: los residuales de los planes siguen siendo previsiones, no resultados aceptados por ejecución. Los planes que incluyen RSC-019/RSC-020 requieren revisión del tratamiento digital y de su residual antes de considerarse completos. C-059 exige presencia desde 50.000 €.</x:v>
      </x:c>
    </x:row>
    <x:row r="68" ht="15" hidden="0" customHeight="1">
      <x:c r="A68" s="31"/>
    </x:row>
    <x:row r="69" ht="26.399999618530273" hidden="0" customHeight="1">
      <x:c r="A69" s="31" t="str">
        <x:v>Historial 1.7 | 20/09/2026 | Autor del caso | Corrección de coherencia y legibilidad. Deltas en correcciones_2026-09.md. Sin aprobación formal ni eficacia operativa declarada.</x:v>
      </x:c>
    </x:row>
    <x:row r="71" ht="75" customHeight="1">
      <x:c r="A71" s="31" t="str">
        <x:v>Historial 2.0 | 27/09/2026 | Autor del caso | Revisión por dominios aplicables. Estado Borrador; aprobación pendiente. Corte operativo 24/07/2026 conservado; no acredita implantación ni eficacia. Ver revisión 2026-09-27.</x:v>
      </x:c>
    </x:row>
    <x:row r="72" ht="75" customHeight="1">
      <x:c r="A72" s="31" t="str">
        <x:v>La columna de dominio es el resultado del análisis de la cadena. RSC-014 queda pendiente de concretar el medio de coacción. C-060 se retira sin reutilizar su identificador. Las cifras históricas no describen la cobertura revisada.</x:v>
      </x:c>
    </x:row>
  </x:sheetData>
  <x:pageMargins left="0.4" right="0.4" top="0.55" bottom="0.55" header="0.2" footer="0.2"/>
  <x:pageSetup paperSize="9" orientation="landscape" scale="85" fitToWidth="1" fitToHeight="0"/>
  <x:headerFooter>
    <x:oddFooter>&amp;LSGSIREG001002 v2.0 · Restringida&amp;CPortada&amp;RPágina &amp;P de &amp;N</x:oddFooter>
    <x:oddHeader>&amp;LAtalaya · Revisión documental pendiente de aprobación&amp;R20/09/2026</x:oddHeader>
  </x:headerFooter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92" style="14" customWidth="1"/>
  </x:cols>
  <x:sheetData>
    <x:row r="1" s="15" customFormat="1" ht="31.200000762939453" hidden="0" customHeight="1">
      <x:c r="A1" s="28" t="inlineStr">
        <x:is>
          <x:t xml:space="preserve">SGSI-REG-001 (Registro de Riesgos) y SGSI-REG-002 (Plan de Tratamiento) | Criterios (resumen de SGSI-DOC-004)</x:t>
        </x:is>
      </x:c>
    </x:row>
    <x:row r="2" ht="15" hidden="0" customHeight="1">
      <x:c r="A2" s="31"/>
    </x:row>
    <x:row r="3" s="15" customFormat="1" ht="15" hidden="0" customHeight="1">
      <x:c r="A3" s="29" t="inlineStr">
        <x:is>
          <x:t xml:space="preserve">Impacto: máximo de las 4 dimensiones (Personas, Patrimonio, Privacidad/Reputación, Legal). Escalas 1-4.</x:t>
        </x:is>
      </x:c>
    </x:row>
    <x:row r="4" s="15" customFormat="1" ht="24" hidden="0" customHeight="1">
      <x:c r="A4" s="29" t="inlineStr">
        <x:is>
          <x:t xml:space="preserve">Aceptación: Bajo aceptable; Moderado con justificación del propietario; Alto lo acepta el propietario del riesgo (6.1.3 f) y lo ratifica el Comité; Crítico no aceptable como residual.</x:t>
        </x:is>
      </x:c>
    </x:row>
    <x:row r="5" ht="15" hidden="0" customHeight="1">
      <x:c r="A5" s="31"/>
    </x:row>
    <x:row r="6" s="15" customFormat="1" ht="15" hidden="0" customHeight="1">
      <x:c r="A6" s="30" t="inlineStr">
        <x:is>
          <x:t xml:space="preserve">PROBABILIDAD — anclaje por acumulación de condiciones de exposición (DOC-004 §4.2, v1.1):</x:t>
        </x:is>
      </x:c>
    </x:row>
    <x:row r="7" s="15" customFormat="1" ht="15" hidden="0" customHeight="1">
      <x:c r="A7" s="29" t="inlineStr">
        <x:is>
          <x:t xml:space="preserve">   1 Raro — Ninguna condición de exposición presente. Requeriría que un actor fuera expresamente a por la organización.</x:t>
        </x:is>
      </x:c>
    </x:row>
    <x:row r="8" s="15" customFormat="1" ht="15" hidden="0" customHeight="1">
      <x:c r="A8" s="29" t="inlineStr">
        <x:is>
          <x:t xml:space="preserve">   2 Posible — Existe exposición, pero no hay señal ni intención conocida.</x:t>
        </x:is>
      </x:c>
    </x:row>
    <x:row r="9" s="15" customFormat="1" ht="15" hidden="0" customHeight="1">
      <x:c r="A9" s="29" t="inlineStr">
        <x:is>
          <x:t xml:space="preserve">   3 Probable — Varias condiciones apiladas: la información está disponible, el acceso es fácil, existe motivo.</x:t>
        </x:is>
      </x:c>
    </x:row>
    <x:row r="10" s="15" customFormat="1" ht="15" hidden="0" customHeight="1">
      <x:c r="A10" s="29" t="inlineStr">
        <x:is>
          <x:t xml:space="preserve">   4 Muy probable — Lo anterior MÁS una señal observada: ya ha ocurrido, hay indicios activos, o alguien lo ha intentado.</x:t>
        </x:is>
      </x:c>
    </x:row>
    <x:row r="11" s="15" customFormat="1" ht="15" hidden="0" customHeight="1">
      <x:c r="A11" s="29" t="inlineStr">
        <x:is>
          <x:t xml:space="preserve">   Regla: el nivel 4 exige haber visto algo. No se asigna por intuición ni por gravedad percibida.</x:t>
        </x:is>
      </x:c>
    </x:row>
    <x:row r="12" ht="15" hidden="0" customHeight="1">
      <x:c r="A12" s="31"/>
    </x:row>
    <x:row r="13" s="15" customFormat="1" ht="24" hidden="0" customHeight="1">
      <x:c r="A13" s="29" t="inlineStr">
        <x:is>
          <x:t xml:space="preserve">Condiciones de exposición consideradas: información en abierto | acceso físico fácil o no controlado | persona con motivo dentro o cerca |</x:t>
        </x:is>
      </x:c>
    </x:row>
    <x:row r="14" s="15" customFormat="1" ht="15" hidden="0" customHeight="1">
      <x:c r="A14" s="29" t="inlineStr">
        <x:is>
          <x:t xml:space="preserve">   notoriedad pública del principal | precedente propio o en el entorno inmediato.</x:t>
        </x:is>
      </x:c>
    </x:row>
    <x:row r="15" ht="15" hidden="0" customHeight="1">
      <x:c r="A15" s="31"/>
    </x:row>
    <x:row r="16" s="15" customFormat="1" ht="15" hidden="0" customHeight="1">
      <x:c r="A16" s="30" t="str">
        <x:v>Regla de cobertura (DOC-004 §6, revisión 2.0): analizar siempre FISICO y DIGITAL; exigir cobertura solo en los dominios aplicables de cada escenario Alto o Crítico.</x:v>
      </x:c>
    </x:row>
    <x:row r="17" s="15" customFormat="1" ht="15" hidden="0" customHeight="1">
      <x:c r="A17" s="29" t="str">
        <x:v>ORGANIZATIVO no acredita por sí solo cobertura física o digital. Dominio del escenario, dominio de la medida y bloque del Anexo A son conceptos distintos.</x:v>
      </x:c>
    </x:row>
    <x:row r="18" s="15" customFormat="1" ht="15" hidden="0" customHeight="1">
      <x:c r="A18" s="29" t="str">
        <x:v>Cobertura efectiva según datos = IMPLEMENTADO + evidencia no vacía + verificación en plazo + alcance GENERAL documentado.</x:v>
      </x:c>
    </x:row>
    <x:row r="19" s="15" customFormat="1" ht="15" hidden="0" customHeight="1">
      <x:c r="A19" s="29" t="str">
        <x:v>PLANIFICADO, PARCIAL, verificación vencida/futura o alcance CONDICIONADO/PENDIENTE no acreditan cobertura general.</x:v>
      </x:c>
    </x:row>
    <x:row r="20" ht="15" hidden="0" customHeight="1">
      <x:c r="A20" s="31"/>
    </x:row>
    <x:row r="21" s="15" customFormat="1" ht="15" hidden="0" customHeight="1">
      <x:c r="A21" s="29" t="inlineStr">
        <x:is>
          <x:t xml:space="preserve">Valorado en sesión conjunta del Comité de Seguridad Convergente. Revisión v1.1: revalorización de probabilidad con el anclaje por</x:t>
        </x:is>
      </x:c>
    </x:row>
    <x:row r="22" s="15" customFormat="1" ht="15" hidden="0" customHeight="1">
      <x:c r="A22" s="29" t="inlineStr">
        <x:is>
          <x:t xml:space="preserve">   condiciones y alta de los escenarios RSC-018 a RSC-025 (fallos de ejecución y operativa material), aportados por el jefe de seguridad.</x:t>
        </x:is>
      </x:c>
    </x:row>
    <x:row r="23" s="15" customFormat="1" ht="15" hidden="0" customHeight="1">
      <x:c r="A23" s="32" t="n"/>
    </x:row>
    <x:row r="24" s="15" customFormat="1" ht="15" hidden="0" customHeight="1">
      <x:c r="A24" s="33" t="inlineStr">
        <x:is>
          <x:t xml:space="preserve">VOCABULARIO DE ESTADO DE CONTROL (común a SGSI-REG-001 y SGSI-REG-003; valores exactos, en mayúsculas):</x:t>
        </x:is>
      </x:c>
    </x:row>
    <x:row r="25" s="15" customFormat="1" ht="15" hidden="0" customHeight="1">
      <x:c r="A25" s="32" t="inlineStr">
        <x:is>
          <x:t xml:space="preserve">   IMPLEMENTADO — el control opera y su ejecución deja evidencia registrada.</x:t>
        </x:is>
      </x:c>
    </x:row>
    <x:row r="26" s="15" customFormat="1" ht="24" hidden="0" customHeight="1">
      <x:c r="A26" s="32" t="inlineStr">
        <x:is>
          <x:t xml:space="preserve">   PARCIAL — el control opera pero sin evidencia registrada de su ejecución, o solo en una parte del alcance. Los dos supuestos se distinguen por la columna «evidencia»:</x:t>
        </x:is>
      </x:c>
    </x:row>
    <x:row r="27" s="15" customFormat="1" ht="15" hidden="0" customHeight="1">
      <x:c r="A27" s="32" t="inlineStr">
        <x:is>
          <x:t xml:space="preserve">   con identificador de evidencia (C-003, C-004, C-011, C-013, C-015) = opera y deja evidencia, pero solo en parte del alcance;</x:t>
        </x:is>
      </x:c>
    </x:row>
    <x:row r="28" s="15" customFormat="1" ht="15" hidden="0" customHeight="1">
      <x:c r="A28" s="32" t="inlineStr">
        <x:is>
          <x:t xml:space="preserve">   sin identificador = opera sin dejar evidencia registrada de su ejecución. Es el caso de los controles del</x:t>
        </x:is>
      </x:c>
    </x:row>
    <x:row r="29" s="15" customFormat="1" ht="15" hidden="0" customHeight="1">
      <x:c r="A29" s="32" t="inlineStr">
        <x:is>
          <x:t xml:space="preserve">   Anexo A que en SGSI-REG-003 figuran PARCIAL sin control propio en este registro: los físicos preexistentes</x:t>
        </x:is>
      </x:c>
    </x:row>
    <x:row r="30" s="15" customFormat="1" ht="15" hidden="0" customHeight="1">
      <x:c r="A30" s="32" t="inlineStr">
        <x:is>
          <x:t xml:space="preserve">   (perímetro, suministro, protección ambiental, contacto con grupos de interés) y los que se apoyan en un documento</x:t>
        </x:is>
      </x:c>
    </x:row>
    <x:row r="31" s="15" customFormat="1" ht="15" hidden="0" customHeight="1">
      <x:c r="A31" s="32" t="inlineStr">
        <x:is>
          <x:t xml:space="preserve">   del SGSI ya aprobado pero aún no desplegado en su totalidad. Ninguno de los dos supuestos cuenta como cobertura efectiva.</x:t>
        </x:is>
      </x:c>
    </x:row>
    <x:row r="32" s="15" customFormat="1" ht="15" hidden="0" customHeight="1">
      <x:c r="A32" s="32" t="inlineStr">
        <x:is>
          <x:t xml:space="preserve">   PLANIFICADO — el control no opera todavía.</x:t>
        </x:is>
      </x:c>
    </x:row>
    <x:row r="33" s="15" customFormat="1" ht="15" hidden="0" customHeight="1">
      <x:c r="A33" s="32" t="inlineStr">
        <x:is>
          <x:t xml:space="preserve">   NO APLICA — únicamente en SGSI-REG-003, para los controles del Anexo A declarados no aplicables.</x:t>
        </x:is>
      </x:c>
    </x:row>
    <x:row r="34" s="15" customFormat="1" ht="15" hidden="0" customHeight="1">
      <x:c r="A34" s="32" t="inlineStr">
        <x:is>
          <x:t xml:space="preserve">   Regla de coherencia: el estado de un control del Anexo A en la SoA es el del control menos avanzado</x:t>
        </x:is>
      </x:c>
    </x:row>
    <x:row r="35" s="15" customFormat="1" ht="15" hidden="0" customHeight="1">
      <x:c r="A35" s="32" t="inlineStr">
        <x:is>
          <x:t xml:space="preserve">   del registro que lo soporta. Un control del Anexo A no puede figurar más avanzado que su tratamiento. Dos excepciones</x:t>
        </x:is>
      </x:c>
    </x:row>
    <x:row r="36" s="15" customFormat="1" ht="15" hidden="0" customHeight="1">
      <x:c r="A36" s="32" t="inlineStr">
        <x:is>
          <x:t xml:space="preserve">   declaradas: los controles físicos preexistentes, que operan sin dejar evidencia registrada y figuran PARCIAL; y los controles</x:t>
        </x:is>
      </x:c>
    </x:row>
    <x:row r="37" s="15" customFormat="1" ht="15" hidden="0" customHeight="1">
      <x:c r="A37" s="32" t="inlineStr">
        <x:is>
          <x:t xml:space="preserve">   acreditados por un contrato de tercero sin control propio en el registro (8.14), que figuran con el estado que acredite ese contrato.</x:t>
        </x:is>
      </x:c>
    </x:row>
    <x:row r="38" ht="15" hidden="0" customHeight="1">
      <x:c r="A38" s="31"/>
    </x:row>
    <x:row r="39" s="15" customFormat="1" ht="15" hidden="0" customHeight="1">
      <x:c r="A39" s="33" t="inlineStr">
        <x:is>
          <x:t xml:space="preserve">VOCABULARIO DE ESTADO DE PLAN (hoja «Plan de tratamiento», columna «Estado»; valores exactos, en mayúsculas):</x:t>
        </x:is>
      </x:c>
    </x:row>
    <x:row r="40" s="15" customFormat="1" ht="15" hidden="0" customHeight="1">
      <x:c r="A40" s="32" t="inlineStr">
        <x:is>
          <x:t xml:space="preserve">   NO INICIADO — ningún control del plan ha salido del estado PLANIFICADO.</x:t>
        </x:is>
      </x:c>
    </x:row>
    <x:row r="41" s="15" customFormat="1" ht="15" hidden="0" customHeight="1">
      <x:c r="A41" s="32" t="inlineStr">
        <x:is>
          <x:t xml:space="preserve">   EN CURSO — al menos un control del plan ha alcanzado PARCIAL o IMPLEMENTADO.</x:t>
        </x:is>
      </x:c>
    </x:row>
    <x:row r="42" s="15" customFormat="1" ht="15" hidden="0" customHeight="1">
      <x:c r="A42" s="32" t="inlineStr">
        <x:is>
          <x:t xml:space="preserve">   CERRADO — todos los controles del plan están IMPLEMENTADOS y su residual ha sido aceptado y ratificado.</x:t>
        </x:is>
      </x:c>
    </x:row>
    <x:row r="43" s="15" customFormat="1" ht="15" hidden="0" customHeight="1">
      <x:c r="A43" s="32" t="inlineStr">
        <x:is>
          <x:t xml:space="preserve">   Es un dominio distinto del estado de control y no debe confundirse con él: un plan describe un trabajo, un control</x:t>
        </x:is>
      </x:c>
    </x:row>
    <x:row r="44" s="15" customFormat="1" ht="15" hidden="0" customHeight="1">
      <x:c r="A44" s="32" t="inlineStr">
        <x:is>
          <x:t xml:space="preserve">   describe una medida. Se declara aquí porque hasta la v1.4 esta columna usaba «Planificado / En curso», vocabulario</x:t>
        </x:is>
      </x:c>
    </x:row>
    <x:row r="45" s="15" customFormat="1" ht="15" hidden="0" customHeight="1">
      <x:c r="A45" s="32" t="inlineStr">
        <x:is>
          <x:t xml:space="preserve">   que HD-06 dio por retirado del sistema sin advertir que seguía vivo en esta hoja.</x:t>
        </x:is>
      </x:c>
    </x:row>
    <x:row r="46" ht="15" hidden="0" customHeight="1">
      <x:c r="A46" s="31"/>
    </x:row>
    <x:row r="47" s="15" customFormat="1" ht="15" hidden="0" customHeight="1">
      <x:c r="A47" s="33" t="inlineStr">
        <x:is>
          <x:t xml:space="preserve">ACEPTACIÓN DEL RIESGO RESIDUAL Y APROBACIÓN DEL PLAN (ISO/IEC 27001 6.1.3 f):</x:t>
        </x:is>
      </x:c>
    </x:row>
    <x:row r="48" s="15" customFormat="1" ht="15" hidden="0" customHeight="1">
      <x:c r="A48" s="32" t="inlineStr">
        <x:is>
          <x:t xml:space="preserve">   La norma exige que el plan de tratamiento lo apruebe y que el riesgo residual lo acepte el PROPIETARIO DEL RIESGO.</x:t>
        </x:is>
      </x:c>
    </x:row>
    <x:row r="49" s="15" customFormat="1" ht="15" hidden="0" customHeight="1">
      <x:c r="A49" s="32" t="inlineStr">
        <x:is>
          <x:t xml:space="preserve">   Ambos actos se registran en columnas propias de la hoja «Plan de tratamiento». Sobre ese mínimo, esta organización</x:t>
        </x:is>
      </x:c>
    </x:row>
    <x:row r="50" s="15" customFormat="1" ht="15" hidden="0" customHeight="1">
      <x:c r="A50" s="32" t="inlineStr">
        <x:is>
          <x:t xml:space="preserve">   añade un requisito más estricto: todo residual de nivel Alto exige además ratificación expresa del Comité de</x:t>
        </x:is>
      </x:c>
    </x:row>
    <x:row r="51" s="15" customFormat="1" ht="15" hidden="0" customHeight="1">
      <x:c r="A51" s="32" t="inlineStr">
        <x:is>
          <x:t xml:space="preserve">   Seguridad Convergente (DOC-004 §4.4), registrada en acta. La ratificación colegiada no sustituye la aceptación</x:t>
        </x:is>
      </x:c>
    </x:row>
    <x:row r="52" s="15" customFormat="1" ht="15" hidden="0" customHeight="1">
      <x:c r="A52" s="32" t="inlineStr">
        <x:is>
          <x:t xml:space="preserve">   del propietario; se suma a ella.</x:t>
        </x:is>
      </x:c>
    </x:row>
    <x:row r="53" s="15" customFormat="1" ht="15" hidden="0" customHeight="1">
      <x:c r="A53" s="29" t="n"/>
    </x:row>
    <x:row r="54" s="15" customFormat="1" ht="15" hidden="0" customHeight="1">
      <x:c r="A54" s="33" t="inlineStr">
        <x:is>
          <x:t xml:space="preserve">VOCABULARIO DE INTERFAZ (hoja «Registro de riesgos», columna «Interfaz»; valores exactos):</x:t>
        </x:is>
      </x:c>
    </x:row>
    <x:row r="55" s="15" customFormat="1" ht="15" hidden="0" customHeight="1">
      <x:c r="A55" s="32" t="inlineStr">
        <x:is>
          <x:t xml:space="preserve">   Las diez interfaces declaradas en SGSI-DOC-001 §7.4 se citan en el registro por su forma corta, una por una y separadas por «;»:</x:t>
        </x:is>
      </x:c>
    </x:row>
    <x:row r="56" s="15" customFormat="1" ht="15" hidden="0" customHeight="1">
      <x:c r="A56" s="32" t="inlineStr">
        <x:is>
          <x:t xml:space="preserve">   Familia | Círculo histórico | Asesores Dublín | MSP | Banca privada | Físico↔Digital | Servicios contratados |</x:t>
        </x:is>
      </x:c>
    </x:row>
    <x:row r="57" s="15" customFormat="1" ht="15" hidden="0" customHeight="1">
      <x:c r="A57" s="32" t="inlineStr">
        <x:is>
          <x:t xml:space="preserve">   Contratas y trabajos | Entorno social | Proveedores de viaje.</x:t>
        </x:is>
      </x:c>
    </x:row>
    <x:row r="58" s="15" customFormat="1" ht="15" hidden="0" customHeight="1">
      <x:c r="A58" s="32" t="inlineStr">
        <x:is>
          <x:t xml:space="preserve">   Regla de completitud (DOC-004 §5.1), verificable en los dos sentidos: todo escenario del registro cita al menos una interfaz</x:t>
        </x:is>
      </x:c>
    </x:row>
    <x:row r="59" s="15" customFormat="1" ht="15" hidden="0" customHeight="1">
      <x:c r="A59" s="32" t="inlineStr">
        <x:is>
          <x:t xml:space="preserve">   declarada, y toda interfaz declarada es citada por al menos un escenario. No se admiten valores fuera de esta lista.</x:t>
        </x:is>
      </x:c>
    </x:row>
    <x:row r="60" s="15" customFormat="1" ht="15" hidden="0" customHeight="1">
      <x:c r="A60" s="32" t="n"/>
    </x:row>
    <x:row r="61" s="15" customFormat="1" ht="15" hidden="0" customHeight="1">
      <x:c r="A61" s="30" t="inlineStr">
        <x:is>
          <x:t xml:space="preserve">VOCABULARIO DE VERIFICACIÓN (hoja Controles; criterio de asignación en DOC-004 §6):</x:t>
        </x:is>
      </x:c>
    </x:row>
    <x:row r="62" s="15" customFormat="1" ht="15" hidden="0" customHeight="1">
      <x:c r="A62" s="29" t="inlineStr">
        <x:is>
          <x:t xml:space="preserve">   periodicidad_dias — cada cuántos días debe verificarse que el control sigue operando. Valores admitidos: 90, 180, 365.</x:t>
        </x:is>
      </x:c>
    </x:row>
    <x:row r="63" s="15" customFormat="1" ht="15" hidden="0" customHeight="1">
      <x:c r="A63" s="29" t="inlineStr">
        <x:is>
          <x:t xml:space="preserve">   Criterio de asignación: velocidad con la que el control pierde vigencia sin que nadie lo advierta. NO el nivel del escenario.</x:t>
        </x:is>
      </x:c>
    </x:row>
    <x:row r="64" s="15" customFormat="1" ht="15" hidden="0" customHeight="1">
      <x:c r="A64" s="29" t="inlineStr">
        <x:is>
          <x:t xml:space="preserve">      90  — listas, permisos y configuraciones que quedan obsoletos solos al cambiar una persona, un proveedor o un sistema.</x:t>
        </x:is>
      </x:c>
    </x:row>
    <x:row r="65" s="15" customFormat="1" ht="15" hidden="0" customHeight="1">
      <x:c r="A65" s="29" t="inlineStr">
        <x:is>
          <x:t xml:space="preserve">      180 — rutinas operativas: dependen de que alguien las ejecute cada vez y se relajan con la costumbre.</x:t>
        </x:is>
      </x:c>
    </x:row>
    <x:row r="66" s="15" customFormat="1" ht="15" hidden="0" customHeight="1">
      <x:c r="A66" s="29" t="inlineStr">
        <x:is>
          <x:t xml:space="preserve">      365 — acuerdos firmados, normas familiares, cláusulas contractuales y verificaciones de periodicidad anual por diseño.</x:t>
        </x:is>
      </x:c>
    </x:row>
    <x:row r="67" s="15" customFormat="1" ht="24" hidden="0" customHeight="1">
      <x:c r="A67" s="29" t="inlineStr">
        <x:is>
          <x:t xml:space="preserve">   fecha_ultima_verificacion — fecha (DD/MM/AAAA) de la última verificación registrada. Vacío = nunca verificado. El formato es el que consume el validador automático.</x:t>
        </x:is>
      </x:c>
    </x:row>
    <x:row r="68" s="15" customFormat="1" ht="15" hidden="0" customHeight="1">
      <x:c r="A68" s="29" t="inlineStr">
        <x:is>
          <x:t xml:space="preserve">   Vencimiento: fecha_ultima_verificacion + periodicidad_dias &lt; fecha de corte. Un control vencido NO cambia de estado en</x:t>
        </x:is>
      </x:c>
    </x:row>
    <x:row r="69" s="15" customFormat="1" ht="15" hidden="0" customHeight="1">
      <x:c r="A69" s="29" t="inlineStr">
        <x:is>
          <x:t xml:space="preserve">   SGSI-REG-003: sigue IMPLEMENTADO. Lo que decae no es su existencia, sino la acreditación de su eficacia (DOC-004 §6).</x:t>
        </x:is>
      </x:c>
    </x:row>
    <x:row r="70" s="15" customFormat="1" ht="15" hidden="0" customHeight="1">
      <x:c r="A70" s="32" t="n"/>
    </x:row>
    <x:row r="71" s="15" customFormat="1" ht="15" hidden="0" customHeight="1">
      <x:c r="A71" s="30" t="inlineStr">
        <x:is>
          <x:t xml:space="preserve">VERIFICACIÓN AUTOMÁTICA DE LA REGLA DE CONVERGENCIA:</x:t>
        </x:is>
      </x:c>
    </x:row>
    <x:row r="72" s="15" customFormat="1" ht="15" hidden="0" customHeight="1">
      <x:c r="A72" s="29" t="inlineStr">
        <x:is>
          <x:t xml:space="preserve">   La regla de convergencia no se comprueba a mano. Las hojas «Registro de riesgos» y «Controles» se exportan a</x:t>
        </x:is>
      </x:c>
    </x:row>
    <x:row r="73" s="15" customFormat="1" ht="15" hidden="0" customHeight="1">
      <x:c r="A73" s="29" t="inlineStr">
        <x:is>
          <x:t xml:space="preserve">   riesgos.csv y controles.csv y se procesan con el validador convergence-check (tool/convergence-check del</x:t>
        </x:is>
      </x:c>
    </x:row>
    <x:row r="74" s="15" customFormat="1" ht="15" hidden="0" customHeight="1">
      <x:c r="A74" s="29" t="inlineStr">
        <x:is>
          <x:t xml:space="preserve">   repositorio del caso), que reproduce literalmente los criterios de esta hoja: regla del máximo, umbrales de</x:t>
        </x:is>
      </x:c>
    </x:row>
    <x:row r="75" s="15" customFormat="1" ht="15" hidden="0" customHeight="1">
      <x:c r="A75" s="29" t="str">
        <x:v>nivel, filtro Alto/Crítico, dominios justificados, alcance de las medidas y condiciones de cobertura efectiva.</x:v>
      </x:c>
    </x:row>
    <x:row r="76" s="15" customFormat="1" ht="15" hidden="0" customHeight="1">
      <x:c r="A76" s="29" t="str">
        <x:v>Diagnósticos: cumple cobertura de dominios aplicables; falta física; falta digital; sin cobertura; evaluación pendiente.</x:v>
      </x:c>
    </x:row>
    <x:row r="77" s="15" customFormat="1" ht="15" hidden="0" customHeight="1">
      <x:c r="A77" s="29" t="str">
        <x:v>Un resultado favorable no significa riesgo aceptado, cumplimiento normativo ni comprobación del contenido de las evidencias.</x:v>
      </x:c>
    </x:row>
    <x:row r="78" s="15" customFormat="1" ht="15" hidden="0" customHeight="1">
      <x:c r="A78" s="29" t="inlineStr">
        <x:is>
          <x:t xml:space="preserve">   por la dirección. Motivo de diseño: una regla que solo se comprueba a mano deja de comprobarse en cuanto el</x:t>
        </x:is>
      </x:c>
    </x:row>
    <x:row r="79" s="15" customFormat="1" ht="15" hidden="0" customHeight="1">
      <x:c r="A79" s="29" t="str">
        <x:v>La exportación y la coherencia SoA-registro se comprueban mediante check_corpus.py; la demostración conserva diferencias simuladas explícitas.</x:v>
      </x:c>
    </x:row>
    <x:row r="80" s="15" customFormat="1" ht="15" hidden="0" customHeight="1">
      <x:c r="A80" s="33" t="inlineStr">
        <x:is>
          <x:t xml:space="preserve">ESTADO DEL SISTEMA A FECHA DE CORTE (24/07/2026):</x:t>
        </x:is>
      </x:c>
    </x:row>
    <x:row r="81" s="15" customFormat="1" ht="15" hidden="0" customHeight="1">
      <x:c r="A81" s="32" t="inlineStr">
        <x:is>
          <x:t xml:space="preserve">   Controles en estado IMPLEMENTADO: 0 de 64. Controles con verificación registrada: 0 de 64.</x:t>
        </x:is>
      </x:c>
    </x:row>
    <x:row r="82" s="15" customFormat="1" ht="15" hidden="0" customHeight="1">
      <x:c r="A82" s="32" t="inlineStr">
        <x:is>
          <x:t xml:space="preserve">   En consecuencia, y por aplicación literal de la definición de cobertura efectiva, a esta fecha NINGÚN</x:t>
        </x:is>
      </x:c>
    </x:row>
    <x:row r="83" s="15" customFormat="1" ht="15" hidden="0" customHeight="1">
      <x:c r="A83" s="32" t="inlineStr">
        <x:is>
          <x:t xml:space="preserve">   escenario del registro alcanza cobertura convergente efectiva. Es el resultado esperado de un sistema</x:t>
        </x:is>
      </x:c>
    </x:row>
    <x:row r="84" s="15" customFormat="1" ht="15" hidden="0" customHeight="1">
      <x:c r="A84" s="32" t="inlineStr">
        <x:is>
          <x:t xml:space="preserve">   en implantación cuya primera auditoría está planificada para el primer semestre de 2027.</x:t>
        </x:is>
      </x:c>
    </x:row>
    <x:row r="85" s="15" customFormat="1" ht="15" hidden="0" customHeight="1">
      <x:c r="A85" s="32" t="str">
        <x:v>Dominios del escenario: Ambos, Fisico, Digital o Pendiente, con justificación individual en la columna R.</x:v>
      </x:c>
    </x:row>
    <x:row r="86" s="15" customFormat="1" ht="15" hidden="0" customHeight="1">
      <x:c r="A86" s="32" t="str">
        <x:v>No se infiere el dominio de un escenario del tipo de controles disponibles; un dominio pendiente no se excluye automáticamente.</x:v>
      </x:c>
    </x:row>
    <x:row r="87" s="15" customFormat="1" ht="15" hidden="0" customHeight="1">
      <x:c r="A87" s="32" t="inlineStr">
        <x:is>
          <x:t xml:space="preserve">   La verificación de la regla de convergencia sobre cobertura efectiva se realizará al cierre del plan</x:t>
        </x:is>
      </x:c>
    </x:row>
    <x:row r="88" s="15" customFormat="1" ht="15" hidden="0" customHeight="1">
      <x:c r="A88" s="32" t="inlineStr">
        <x:is>
          <x:t xml:space="preserve">   de tratamiento (SGSI-REG-002) y es entrada obligatoria de la revisión por la dirección (DOC-010 §3.1).</x:t>
        </x:is>
      </x:c>
    </x:row>
    <x:row r="89" s="15" customFormat="1" ht="15" hidden="0" customHeight="1">
      <x:c r="A89" s="32" t="n"/>
    </x:row>
    <x:row r="90" s="15" customFormat="1" ht="15" hidden="0" customHeight="1">
      <x:c r="A90" s="33" t="inlineStr">
        <x:is>
          <x:t xml:space="preserve">FECHA DE CORTE DEL SISTEMA: 24/07/2026. Toda la documentación del SGSI refleja el estado del sistema</x:t>
        </x:is>
      </x:c>
    </x:row>
    <x:row r="91" s="15" customFormat="1" ht="15" hidden="0" customHeight="1">
      <x:c r="A91" s="32" t="inlineStr">
        <x:is>
          <x:t xml:space="preserve">   en esa fecha. Los plazos de los planes de tratamiento y de la deuda de diseño se cuentan desde ahí.</x:t>
        </x:is>
      </x:c>
    </x:row>
    <x:row r="92" s="15" customFormat="1" ht="15" hidden="0" customHeight="1">
      <x:c r="A92" s="32" t="n"/>
    </x:row>
    <x:row r="93" s="15" customFormat="1" ht="15" hidden="0" customHeight="1">
      <x:c r="A93" s="32" t="str">
        <x:v>Aprobación de esta revisión: pendiente. Las referencias históricas a actas describen la ficción; no son evidencias de ejecución publicadas.</x:v>
      </x:c>
    </x:row>
    <x:row r="94" ht="15" hidden="0" customHeight="1">
      <x:c r="A94" s="31"/>
    </x:row>
    <x:row r="95" ht="39.599998474121094" hidden="0" customHeight="1">
      <x:c r="A95" s="31" t="str">
        <x:v>Revisión 27/09/2026: C-060 retirado; C-061/C-062/C-064 ORGANIZATIVO; C-065 condicionado. Revisión de HD-02/HD-09/HD-11 y residual pendiente.</x:v>
      </x:c>
    </x:row>
    <x:row r="97" ht="75" customHeight="1">
      <x:c r="A97" s="31" t="str">
        <x:v>El ámbito ORGANIZATIVO sigue siendo necesario. GENERAL significa que la medida no declara una condición que limite su cómputo; no significa eliminar todas las ramas del riesgo. CONDICIONADO y PENDIENTE se informan, no se suman como cobertura general.</x:v>
      </x:c>
    </x:row>
    <x:row r="98" ht="75" customHeight="1">
      <x:c r="A98" s="31" t="str">
        <x:v>La revisión compara diseño y datos. La SoA conserva A.8.14 y los medios físicos preexistentes como excepciones documentadas; no se modifican sus estados para hacer pasar la comprobación.</x:v>
      </x:c>
    </x:row>
  </x:sheetData>
  <x:pageMargins left="0.4" right="0.4" top="0.55" bottom="0.55" header="0.2" footer="0.2"/>
  <x:pageSetup paperSize="9" orientation="landscape" scale="85" fitToWidth="1" fitToHeight="0"/>
  <x:headerFooter>
    <x:oddFooter>&amp;LSGSIREG001002 v2.0 · Restringida&amp;CCriterios&amp;RPágina &amp;P de &amp;N</x:oddFooter>
    <x:oddHeader>&amp;LAtalaya · Revisión documental pendiente de aprobación&amp;R20/09/2026</x:oddHeader>
  </x:headerFooter>
</x:worksheet>
</file>

<file path=xl/worksheets/sheet3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baseColWidth="8" defaultColWidth="8.6796875" defaultRowHeight="15"/>
  <x:cols>
    <x:col min="1" max="1" width="10" style="14" customWidth="1"/>
    <x:col min="2" max="2" width="42" style="14" customWidth="1"/>
    <x:col min="3" max="3" width="60" style="14" customWidth="1"/>
    <x:col min="4" max="4" width="20" style="14" customWidth="1"/>
    <x:col min="5" max="5" width="14" style="14" customWidth="1"/>
    <x:col min="6" max="6" width="40" style="14" customWidth="1"/>
    <x:col min="7" max="10" width="7" style="14" customWidth="1"/>
    <x:col min="11" max="11" width="9" style="14" customWidth="1"/>
    <x:col min="12" max="12" width="7" style="14" customWidth="1"/>
    <x:col min="13" max="13" width="8" style="14" customWidth="1"/>
    <x:col min="14" max="14" width="11" style="14" customWidth="1"/>
    <x:col min="15" max="15" width="20" style="14" customWidth="1"/>
    <x:col min="16" max="16" width="26" style="14" customWidth="1"/>
    <x:col min="17" max="17" width="14" style="14" customWidth="1"/>
    <x:col min="18" max="18" width="65" hidden="0" customWidth="1"/>
  </x:cols>
  <x:sheetData>
    <x:row r="1" s="15" customFormat="1" ht="24" hidden="0" customHeight="1">
      <x:c r="A1" s="34" t="inlineStr">
        <x:is>
          <x:t xml:space="preserve">Código</x:t>
        </x:is>
      </x:c>
      <x:c r="B1" s="34" t="inlineStr">
        <x:is>
          <x:t xml:space="preserve">Título</x:t>
        </x:is>
      </x:c>
      <x:c r="C1" s="34" t="inlineStr">
        <x:is>
          <x:t xml:space="preserve">Cadena (resumen)</x:t>
        </x:is>
      </x:c>
      <x:c r="D1" s="34" t="inlineStr">
        <x:is>
          <x:t xml:space="preserve">Interfaz</x:t>
        </x:is>
      </x:c>
      <x:c r="E1" s="34" t="inlineStr">
        <x:is>
          <x:t xml:space="preserve">Dominios del escenario</x:t>
        </x:is>
      </x:c>
      <x:c r="F1" s="34" t="inlineStr">
        <x:is>
          <x:t xml:space="preserve">Controles existentes</x:t>
        </x:is>
      </x:c>
      <x:c r="G1" s="34" t="inlineStr">
        <x:is>
          <x:t xml:space="preserve">I.Per</x:t>
        </x:is>
      </x:c>
      <x:c r="H1" s="34" t="inlineStr">
        <x:is>
          <x:t xml:space="preserve">I.Pat</x:t>
        </x:is>
      </x:c>
      <x:c r="I1" s="34" t="inlineStr">
        <x:is>
          <x:t xml:space="preserve">I.Priv</x:t>
        </x:is>
      </x:c>
      <x:c r="J1" s="34" t="inlineStr">
        <x:is>
          <x:t xml:space="preserve">I.Leg</x:t>
        </x:is>
      </x:c>
      <x:c r="K1" s="34" t="inlineStr">
        <x:is>
          <x:t xml:space="preserve">Impacto</x:t>
        </x:is>
      </x:c>
      <x:c r="L1" s="34" t="inlineStr">
        <x:is>
          <x:t xml:space="preserve">Prob.</x:t>
        </x:is>
      </x:c>
      <x:c r="M1" s="34" t="inlineStr">
        <x:is>
          <x:t xml:space="preserve">Nivel</x:t>
        </x:is>
      </x:c>
      <x:c r="N1" s="34" t="inlineStr">
        <x:is>
          <x:t xml:space="preserve">Categoría</x:t>
        </x:is>
      </x:c>
      <x:c r="O1" s="34" t="inlineStr">
        <x:is>
          <x:t xml:space="preserve">Propietario</x:t>
        </x:is>
      </x:c>
      <x:c r="P1" s="34" t="inlineStr">
        <x:is>
          <x:t xml:space="preserve">Decisión de tratamiento</x:t>
        </x:is>
      </x:c>
      <x:c r="Q1" s="34" t="inlineStr">
        <x:is>
          <x:t xml:space="preserve">Origen</x:t>
        </x:is>
      </x:c>
      <x:c r="R1" s="31" t="str">
        <x:v>Justificación de dominios</x:v>
      </x:c>
    </x:row>
    <x:row r="2" s="15" customFormat="1" ht="140" hidden="0" customHeight="1">
      <x:c r="A2" s="35" t="inlineStr">
        <x:is>
          <x:t xml:space="preserve">RSC-001</x:t>
        </x:is>
      </x:c>
      <x:c r="B2" s="35" t="inlineStr">
        <x:is>
          <x:t xml:space="preserve">Captación de un miembro joven de la familia para obtención de inteligencia</x:t>
        </x:is>
      </x:c>
      <x:c r="C2" s="35" t="inlineStr">
        <x:is>
          <x:t xml:space="preserve">Un antiguo promotor deportivo con una discrepancia económica no resuelta encarga la obtención de información y no actúa en ningún momento → delega en un intermediario del entorno local → el intermediario se hace visible en el entorno frecuentado por el hijo mayor y es este quien busca el contacto → extracción gradual de rutinas, viajes, funcionamiento de la seguridad y vehículos, en encuentros presenciales y por mensajería → vigilancia física de confirmación sobre la finca → aproximación coactiva al principal, con riesgo de derivar en acción sobre la residencia o las personas.</x:t>
        </x:is>
      </x:c>
      <x:c r="D2" s="35" t="inlineStr">
        <x:is>
          <x:t xml:space="preserve">Familia; Entorno social; Físico↔Digital</x:t>
        </x:is>
      </x:c>
      <x:c r="E2" s="36" t="str">
        <x:v>Ambos</x:v>
      </x:c>
      <x:c r="F2" s="35" t="inlineStr">
        <x:is>
          <x:t xml:space="preserve">Vigilancia física de la residencia: detectó en el eslabón 5 (vigilancia de confirmación) por reconocimiento de un vehículo apoyado en conocimiento local, no por matrícula ni por análisis. Ningún control en los eslabones 3 y 4. Los eslabones 1 y 2 (encargo y delegación) son inalcanzables para la organización: el instigador no actúa nunca. Es una conclusión del análisis, no una carencia del tratamiento.</x:t>
        </x:is>
      </x:c>
      <x:c r="G2" s="36" t="n">
        <x:v>4</x:v>
      </x:c>
      <x:c r="H2" s="36" t="n">
        <x:v>3</x:v>
      </x:c>
      <x:c r="I2" s="36" t="n">
        <x:v>3</x:v>
      </x:c>
      <x:c r="J2" s="36" t="n">
        <x:v>2</x:v>
      </x:c>
      <x:c r="K2" s="36" t="n">
        <x:f>MAX(G2:J2)</x:f>
        <x:v>4</x:v>
      </x:c>
      <x:c r="L2" s="36" t="n">
        <x:v>4</x:v>
      </x:c>
      <x:c r="M2" s="36" t="n">
        <x:f>K2*L2</x:f>
        <x:v>16</x:v>
      </x:c>
      <x:c r="N2" s="36" t="str">
        <x:f>IF(M2&gt;=12,"Crítico",IF(M2&gt;=6,"Alto",IF(M2&gt;=3,"Moderado","Bajo")))</x:f>
        <x:v>Crítico</x:v>
      </x:c>
      <x:c r="O2" s="35" t="inlineStr">
        <x:is>
          <x:t xml:space="preserve">Jefe de seguridad</x:t>
        </x:is>
      </x:c>
      <x:c r="P2" s="35" t="inlineStr">
        <x:is>
          <x:t xml:space="preserve">Modificar — PT-01 (prioritario)</x:t>
        </x:is>
      </x:c>
      <x:c r="Q2" s="36" t="inlineStr">
        <x:is>
          <x:t xml:space="preserve">v1.0</x:t>
        </x:is>
      </x:c>
      <x:c r="R2" s="43" t="str">
        <x:v>Mensajería y extracción de rutinas; encuentros, vigilancia del perímetro y aproximación coactiva. Ambos dominios aparecen en la cadena.</x:v>
      </x:c>
    </x:row>
    <x:row r="3" s="15" customFormat="1" ht="140" hidden="0" customHeight="1">
      <x:c r="A3" s="35" t="inlineStr">
        <x:is>
          <x:t xml:space="preserve">RSC-002</x:t>
        </x:is>
      </x:c>
      <x:c r="B3" s="35" t="inlineStr">
        <x:is>
          <x:t xml:space="preserve">Exposición de rutinas en tiempo real por publicaciones de la familia y su entorno</x:t>
        </x:is>
      </x:c>
      <x:c r="C3" s="35" t="inlineStr">
        <x:is>
          <x:t xml:space="preserve">Publicación de ubicaciones y actividades en tiempo real (hijos, entorno, invitados) → reconstrucción de patrones y ausencias → ventana operativa para acción física.</x:t>
        </x:is>
      </x:c>
      <x:c r="D3" s="35" t="inlineStr">
        <x:is>
          <x:t xml:space="preserve">Familia; Entorno social</x:t>
        </x:is>
      </x:c>
      <x:c r="E3" s="36" t="str">
        <x:v>Ambos</x:v>
      </x:c>
      <x:c r="F3" s="35" t="inlineStr">
        <x:is>
          <x:t xml:space="preserve">Ninguno: sin normas acordadas ni monitorización.</x:t>
        </x:is>
      </x:c>
      <x:c r="G3" s="36" t="n">
        <x:v>3</x:v>
      </x:c>
      <x:c r="H3" s="36" t="n">
        <x:v>2</x:v>
      </x:c>
      <x:c r="I3" s="36" t="n">
        <x:v>3</x:v>
      </x:c>
      <x:c r="J3" s="36" t="n">
        <x:v>1</x:v>
      </x:c>
      <x:c r="K3" s="36" t="n">
        <x:f>MAX(G3:J3)</x:f>
        <x:v>3</x:v>
      </x:c>
      <x:c r="L3" s="36" t="n">
        <x:v>4</x:v>
      </x:c>
      <x:c r="M3" s="36" t="n">
        <x:f>K3*L3</x:f>
        <x:v>12</x:v>
      </x:c>
      <x:c r="N3" s="36" t="str">
        <x:f>IF(M3&gt;=12,"Crítico",IF(M3&gt;=6,"Alto",IF(M3&gt;=3,"Moderado","Bajo")))</x:f>
        <x:v>Crítico</x:v>
      </x:c>
      <x:c r="O3" s="35" t="inlineStr">
        <x:is>
          <x:t xml:space="preserve">Repr. de la propiedad</x:t>
        </x:is>
      </x:c>
      <x:c r="P3" s="35" t="inlineStr">
        <x:is>
          <x:t xml:space="preserve">Modificar — PT-02</x:t>
        </x:is>
      </x:c>
      <x:c r="Q3" s="36" t="inlineStr">
        <x:is>
          <x:t xml:space="preserve">v1.0</x:t>
        </x:is>
      </x:c>
      <x:c r="R3" s="43" t="str">
        <x:v>Publicación de ubicación y reconstrucción de patrones digitales habilitan la acción física sobre personas o residencia.</x:v>
      </x:c>
    </x:row>
    <x:row r="4" s="15" customFormat="1" ht="140" hidden="0" customHeight="1">
      <x:c r="A4" s="35" t="inlineStr">
        <x:is>
          <x:t xml:space="preserve">RSC-003</x:t>
        </x:is>
      </x:c>
      <x:c r="B4" s="35" t="inlineStr">
        <x:is>
          <x:t xml:space="preserve">Compromiso de dispositivo personal de un miembro de la familia</x:t>
        </x:is>
      </x:c>
      <x:c r="C4" s="35" t="inlineStr">
        <x:is>
          <x:t xml:space="preserve">Acceso físico o social al móvil de un miembro de la familia (entorno del hijo, pareja, invitados) → instalación de stalkerware o acceso a cuentas → seguimiento continuo de posición y comunicaciones.</x:t>
        </x:is>
      </x:c>
      <x:c r="D4" s="35" t="inlineStr">
        <x:is>
          <x:t xml:space="preserve">Familia; Entorno social</x:t>
        </x:is>
      </x:c>
      <x:c r="E4" s="36" t="str">
        <x:v>Ambos</x:v>
      </x:c>
      <x:c r="F4" s="35" t="inlineStr">
        <x:is>
          <x:t xml:space="preserve">Ninguno sobre dispositivos personales.</x:t>
        </x:is>
      </x:c>
      <x:c r="G4" s="36" t="n">
        <x:v>3</x:v>
      </x:c>
      <x:c r="H4" s="36" t="n">
        <x:v>2</x:v>
      </x:c>
      <x:c r="I4" s="36" t="n">
        <x:v>4</x:v>
      </x:c>
      <x:c r="J4" s="36" t="n">
        <x:v>2</x:v>
      </x:c>
      <x:c r="K4" s="36" t="n">
        <x:f>MAX(G4:J4)</x:f>
        <x:v>4</x:v>
      </x:c>
      <x:c r="L4" s="36" t="n">
        <x:v>3</x:v>
      </x:c>
      <x:c r="M4" s="36" t="n">
        <x:f>K4*L4</x:f>
        <x:v>12</x:v>
      </x:c>
      <x:c r="N4" s="36" t="str">
        <x:f>IF(M4&gt;=12,"Crítico",IF(M4&gt;=6,"Alto",IF(M4&gt;=3,"Moderado","Bajo")))</x:f>
        <x:v>Crítico</x:v>
      </x:c>
      <x:c r="O4" s="35" t="inlineStr">
        <x:is>
          <x:t xml:space="preserve">Jefe de seguridad</x:t>
        </x:is>
      </x:c>
      <x:c r="P4" s="35" t="inlineStr">
        <x:is>
          <x:t xml:space="preserve">Modificar — PT-03</x:t>
        </x:is>
      </x:c>
      <x:c r="Q4" s="36" t="inlineStr">
        <x:is>
          <x:t xml:space="preserve">v1.0 (P revalorada)</x:t>
        </x:is>
      </x:c>
      <x:c r="R4" s="43" t="str">
        <x:v>Acceso al dispositivo y custodia física; instalación de software y seguimiento de cuentas y comunicaciones.</x:v>
      </x:c>
    </x:row>
    <x:row r="5" s="15" customFormat="1" ht="140" hidden="0" customHeight="1">
      <x:c r="A5" s="35" t="inlineStr">
        <x:is>
          <x:t xml:space="preserve">RSC-004</x:t>
        </x:is>
      </x:c>
      <x:c r="B5" s="35" t="inlineStr">
        <x:is>
          <x:t xml:space="preserve">Filtración involuntaria por mensajería personal del círculo de confianza</x:t>
        </x:is>
      </x:c>
      <x:c r="C5" s="35" t="inlineStr">
        <x:is>
          <x:t xml:space="preserve">Miembro del círculo comenta rutinas, viajes o asuntos de la familia por mensajería con su entorno → la información rebota sin control hasta terceros no previstos.</x:t>
        </x:is>
      </x:c>
      <x:c r="D5" s="35" t="inlineStr">
        <x:is>
          <x:t xml:space="preserve">Círculo histórico</x:t>
        </x:is>
      </x:c>
      <x:c r="E5" s="36" t="str">
        <x:v>Ambos</x:v>
      </x:c>
      <x:c r="F5" s="35" t="inlineStr">
        <x:is>
          <x:t xml:space="preserve">Ninguno: relación sin marco formal.</x:t>
        </x:is>
      </x:c>
      <x:c r="G5" s="36" t="n">
        <x:v>3</x:v>
      </x:c>
      <x:c r="H5" s="36" t="n">
        <x:v>2</x:v>
      </x:c>
      <x:c r="I5" s="36" t="n">
        <x:v>3</x:v>
      </x:c>
      <x:c r="J5" s="36" t="n">
        <x:v>1</x:v>
      </x:c>
      <x:c r="K5" s="36" t="n">
        <x:f>MAX(G5:J5)</x:f>
        <x:v>3</x:v>
      </x:c>
      <x:c r="L5" s="36" t="n">
        <x:v>3</x:v>
      </x:c>
      <x:c r="M5" s="36" t="n">
        <x:f>K5*L5</x:f>
        <x:v>9</x:v>
      </x:c>
      <x:c r="N5" s="36" t="str">
        <x:f>IF(M5&gt;=12,"Crítico",IF(M5&gt;=6,"Alto",IF(M5&gt;=3,"Moderado","Bajo")))</x:f>
        <x:v>Alto</x:v>
      </x:c>
      <x:c r="O5" s="35" t="inlineStr">
        <x:is>
          <x:t xml:space="preserve">Dirección General</x:t>
        </x:is>
      </x:c>
      <x:c r="P5" s="35" t="inlineStr">
        <x:is>
          <x:t xml:space="preserve">Modificar — PT-04</x:t>
        </x:is>
      </x:c>
      <x:c r="Q5" s="36" t="inlineStr">
        <x:is>
          <x:t xml:space="preserve">v1.0</x:t>
        </x:is>
      </x:c>
      <x:c r="R5" s="43" t="str">
        <x:v>Difusión por mensajería de rutinas y desplazamientos que expone la seguridad física; se conserva la relación Digital→Físico ya declarada.</x:v>
      </x:c>
    </x:row>
    <x:row r="6" s="15" customFormat="1" ht="140" hidden="0" customHeight="1">
      <x:c r="A6" s="35" t="inlineStr">
        <x:is>
          <x:t xml:space="preserve">RSC-005</x:t>
        </x:is>
      </x:c>
      <x:c r="B6" s="35" t="inlineStr">
        <x:is>
          <x:t xml:space="preserve">Compromiso del correo personal del gestor de los asuntos de Irlanda (BEC)</x:t>
        </x:is>
      </x:c>
      <x:c r="C6" s="35" t="inlineStr">
        <x:is>
          <x:t xml:space="preserve">Cuenta de email personal sin MFA usada para asuntos societarios → compromiso por phishing → instrucciones falsas a asesores y entidades irlandesas amparadas en poderes sin revisar.</x:t>
        </x:is>
      </x:c>
      <x:c r="D6" s="35" t="inlineStr">
        <x:is>
          <x:t xml:space="preserve">Círculo histórico; Asesores Dublín</x:t>
        </x:is>
      </x:c>
      <x:c r="E6" s="36" t="str">
        <x:v>Digital</x:v>
      </x:c>
      <x:c r="F6" s="35" t="inlineStr">
        <x:is>
          <x:t xml:space="preserve">Ninguno: cuenta personal, poderes de 2015 sin revisar.</x:t>
        </x:is>
      </x:c>
      <x:c r="G6" s="36" t="n">
        <x:v>1</x:v>
      </x:c>
      <x:c r="H6" s="36" t="n">
        <x:v>4</x:v>
      </x:c>
      <x:c r="I6" s="36" t="n">
        <x:v>3</x:v>
      </x:c>
      <x:c r="J6" s="36" t="n">
        <x:v>2</x:v>
      </x:c>
      <x:c r="K6" s="36" t="n">
        <x:f>MAX(G6:J6)</x:f>
        <x:v>4</x:v>
      </x:c>
      <x:c r="L6" s="36" t="n">
        <x:v>3</x:v>
      </x:c>
      <x:c r="M6" s="36" t="n">
        <x:f>K6*L6</x:f>
        <x:v>12</x:v>
      </x:c>
      <x:c r="N6" s="36" t="str">
        <x:f>IF(M6&gt;=12,"Crítico",IF(M6&gt;=6,"Alto",IF(M6&gt;=3,"Moderado","Bajo")))</x:f>
        <x:v>Crítico</x:v>
      </x:c>
      <x:c r="O6" s="35" t="inlineStr">
        <x:is>
          <x:t xml:space="preserve">Resp. financiero</x:t>
        </x:is>
      </x:c>
      <x:c r="P6" s="35" t="inlineStr">
        <x:is>
          <x:t xml:space="preserve">Modificar — PT-05</x:t>
        </x:is>
      </x:c>
      <x:c r="Q6" s="36" t="inlineStr">
        <x:is>
          <x:t xml:space="preserve">v1.0</x:t>
        </x:is>
      </x:c>
      <x:c r="R6" s="43" t="str">
        <x:v>Compromiso del correo e instrucciones falsas con poderes vigentes. No se describe sustracción o uso material de escrituras en la cadena; su custodia es refuerzo complementario.</x:v>
      </x:c>
    </x:row>
    <x:row r="7" s="15" customFormat="1" ht="140" hidden="0" customHeight="1">
      <x:c r="A7" s="35" t="inlineStr">
        <x:is>
          <x:t xml:space="preserve">RSC-006</x:t>
        </x:is>
      </x:c>
      <x:c r="B7" s="35" t="inlineStr">
        <x:is>
          <x:t xml:space="preserve">Suplantación de asesor o proveedor para desviar una transferencia</x:t>
        </x:is>
      </x:c>
      <x:c r="C7" s="35" t="inlineStr">
        <x:is>
          <x:t xml:space="preserve">Actor suplanta al despacho de Dublín o a un proveedor recurrente (dominio parecido, cuenta comprometida) → solicita cambio de cuenta o pago urgente → ejecución sin verificación por segundo canal.</x:t>
        </x:is>
      </x:c>
      <x:c r="D7" s="35" t="inlineStr">
        <x:is>
          <x:t xml:space="preserve">Asesores Dublín; Banca privada</x:t>
        </x:is>
      </x:c>
      <x:c r="E7" s="36" t="str">
        <x:v>Digital</x:v>
      </x:c>
      <x:c r="F7" s="35" t="inlineStr">
        <x:is>
          <x:t xml:space="preserve">Ninguno: sin verificación de doble canal formalizada.</x:t>
        </x:is>
      </x:c>
      <x:c r="G7" s="36" t="n">
        <x:v>1</x:v>
      </x:c>
      <x:c r="H7" s="36" t="n">
        <x:v>4</x:v>
      </x:c>
      <x:c r="I7" s="36" t="n">
        <x:v>2</x:v>
      </x:c>
      <x:c r="J7" s="36" t="n">
        <x:v>2</x:v>
      </x:c>
      <x:c r="K7" s="36" t="n">
        <x:f>MAX(G7:J7)</x:f>
        <x:v>4</x:v>
      </x:c>
      <x:c r="L7" s="36" t="n">
        <x:v>3</x:v>
      </x:c>
      <x:c r="M7" s="36" t="n">
        <x:f>K7*L7</x:f>
        <x:v>12</x:v>
      </x:c>
      <x:c r="N7" s="36" t="str">
        <x:f>IF(M7&gt;=12,"Crítico",IF(M7&gt;=6,"Alto",IF(M7&gt;=3,"Moderado","Bajo")))</x:f>
        <x:v>Crítico</x:v>
      </x:c>
      <x:c r="O7" s="35" t="inlineStr">
        <x:is>
          <x:t xml:space="preserve">Resp. financiero</x:t>
        </x:is>
      </x:c>
      <x:c r="P7" s="35" t="inlineStr">
        <x:is>
          <x:t xml:space="preserve">Modificar — PT-06</x:t>
        </x:is>
      </x:c>
      <x:c r="Q7" s="36" t="inlineStr">
        <x:is>
          <x:t xml:space="preserve">v1.0</x:t>
        </x:is>
      </x:c>
      <x:c r="R7" s="43" t="str">
        <x:v>Suplantación por dominio o cuenta y orden de transferencia. La confirmación presencial es una medida de tratamiento condicionada, no un componente físico del ataque descrito.</x:v>
      </x:c>
    </x:row>
    <x:row r="8" s="15" customFormat="1" ht="140" hidden="0" customHeight="1">
      <x:c r="A8" s="35" t="inlineStr">
        <x:is>
          <x:t xml:space="preserve">RSC-007</x:t>
        </x:is>
      </x:c>
      <x:c r="B8" s="35" t="inlineStr">
        <x:is>
          <x:t xml:space="preserve">Fuga de información fiscal y patrimonial en tránsito</x:t>
        </x:is>
      </x:c>
      <x:c r="C8" s="35" t="inlineStr">
        <x:is>
          <x:t xml:space="preserve">Intercambio semanal España-Irlanda por email sin cifrar → interceptación, reenvío erróneo o compromiso de un buzón → exposición de la posición patrimonial completa.</x:t>
        </x:is>
      </x:c>
      <x:c r="D8" s="35" t="inlineStr">
        <x:is>
          <x:t xml:space="preserve">Asesores Dublín</x:t>
        </x:is>
      </x:c>
      <x:c r="E8" s="36" t="str">
        <x:v>Digital</x:v>
      </x:c>
      <x:c r="F8" s="35" t="inlineStr">
        <x:is>
          <x:t xml:space="preserve">Ninguno: canal no formalizado.</x:t>
        </x:is>
      </x:c>
      <x:c r="G8" s="36" t="n">
        <x:v>2</x:v>
      </x:c>
      <x:c r="H8" s="36" t="n">
        <x:v>3</x:v>
      </x:c>
      <x:c r="I8" s="36" t="n">
        <x:v>3</x:v>
      </x:c>
      <x:c r="J8" s="36" t="n">
        <x:v>3</x:v>
      </x:c>
      <x:c r="K8" s="36" t="n">
        <x:f>MAX(G8:J8)</x:f>
        <x:v>3</x:v>
      </x:c>
      <x:c r="L8" s="36" t="n">
        <x:v>3</x:v>
      </x:c>
      <x:c r="M8" s="36" t="n">
        <x:f>K8*L8</x:f>
        <x:v>9</x:v>
      </x:c>
      <x:c r="N8" s="36" t="str">
        <x:f>IF(M8&gt;=12,"Crítico",IF(M8&gt;=6,"Alto",IF(M8&gt;=3,"Moderado","Bajo")))</x:f>
        <x:v>Alto</x:v>
      </x:c>
      <x:c r="O8" s="35" t="inlineStr">
        <x:is>
          <x:t xml:space="preserve">Resp. financiero</x:t>
        </x:is>
      </x:c>
      <x:c r="P8" s="35" t="inlineStr">
        <x:is>
          <x:t xml:space="preserve">Modificar — PT-06</x:t>
        </x:is>
      </x:c>
      <x:c r="Q8" s="36" t="inlineStr">
        <x:is>
          <x:t xml:space="preserve">v1.0</x:t>
        </x:is>
      </x:c>
      <x:c r="R8" s="43" t="str">
        <x:v>Intercambio por correo, interceptación, reenvío erróneo o buzón comprometido. No aparece papel ni acceso físico; C-060 no justificaba ese dominio.</x:v>
      </x:c>
    </x:row>
    <x:row r="9" s="15" customFormat="1" ht="140" hidden="0" customHeight="1">
      <x:c r="A9" s="35" t="inlineStr">
        <x:is>
          <x:t xml:space="preserve">RSC-008</x:t>
        </x:is>
      </x:c>
      <x:c r="B9" s="35" t="inlineStr">
        <x:is>
          <x:t xml:space="preserve">Abuso o compromiso de las cuentas privilegiadas del MSP</x:t>
        </x:is>
      </x:c>
      <x:c r="C9" s="35" t="inlineStr">
        <x:is>
          <x:t xml:space="preserve">Compromiso del MSP o abuso interno de sus técnicos → acceso a correo, NAS, CCTV y domótica sin registro → exfiltración u observación prolongada.</x:t>
        </x:is>
      </x:c>
      <x:c r="D9" s="35" t="inlineStr">
        <x:is>
          <x:t xml:space="preserve">MSP; Físico↔Digital</x:t>
        </x:is>
      </x:c>
      <x:c r="E9" s="36" t="str">
        <x:v>Ambos</x:v>
      </x:c>
      <x:c r="F9" s="35" t="inlineStr">
        <x:is>
          <x:t xml:space="preserve">Ninguno: sin MFA exigido, sin registro de sesiones, sin contrato específico.</x:t>
        </x:is>
      </x:c>
      <x:c r="G9" s="36" t="n">
        <x:v>3</x:v>
      </x:c>
      <x:c r="H9" s="36" t="n">
        <x:v>3</x:v>
      </x:c>
      <x:c r="I9" s="36" t="n">
        <x:v>4</x:v>
      </x:c>
      <x:c r="J9" s="36" t="n">
        <x:v>2</x:v>
      </x:c>
      <x:c r="K9" s="36" t="n">
        <x:f>MAX(G9:J9)</x:f>
        <x:v>4</x:v>
      </x:c>
      <x:c r="L9" s="36" t="n">
        <x:v>2</x:v>
      </x:c>
      <x:c r="M9" s="36" t="n">
        <x:f>K9*L9</x:f>
        <x:v>8</x:v>
      </x:c>
      <x:c r="N9" s="36" t="str">
        <x:f>IF(M9&gt;=12,"Crítico",IF(M9&gt;=6,"Alto",IF(M9&gt;=3,"Moderado","Bajo")))</x:f>
        <x:v>Alto</x:v>
      </x:c>
      <x:c r="O9" s="35" t="inlineStr">
        <x:is>
          <x:t xml:space="preserve">Jefe de seguridad</x:t>
        </x:is>
      </x:c>
      <x:c r="P9" s="35" t="inlineStr">
        <x:is>
          <x:t xml:space="preserve">Modificar — PT-07</x:t>
        </x:is>
      </x:c>
      <x:c r="Q9" s="36" t="inlineStr">
        <x:is>
          <x:t xml:space="preserve">v1.0</x:t>
        </x:is>
      </x:c>
      <x:c r="R9" s="43" t="str">
        <x:v>Acceso administrativo al correo, NAS, CCTV y domótica permite exfiltración y observación prolongada del entorno residencial físico conectado (DOC-001 §7.4).</x:v>
      </x:c>
    </x:row>
    <x:row r="10" s="15" customFormat="1" ht="140" hidden="0" customHeight="1">
      <x:c r="A10" s="35" t="inlineStr">
        <x:is>
          <x:t xml:space="preserve">RSC-009</x:t>
        </x:is>
      </x:c>
      <x:c r="B10" s="35" t="inlineStr">
        <x:is>
          <x:t xml:space="preserve">Exposición de CCTV y domótica de la residencia a internet</x:t>
        </x:is>
      </x:c>
      <x:c r="C10" s="35" t="inlineStr">
        <x:is>
          <x:t xml:space="preserve">Configuración por defecto de cámaras y domótica → exposición directa o credenciales débiles → observación remota del interior y de rutinas, apertura de accesos.</x:t>
        </x:is>
      </x:c>
      <x:c r="D10" s="35" t="inlineStr">
        <x:is>
          <x:t xml:space="preserve">MSP; Físico↔Digital</x:t>
        </x:is>
      </x:c>
      <x:c r="E10" s="36" t="str">
        <x:v>Ambos</x:v>
      </x:c>
      <x:c r="F10" s="35" t="inlineStr">
        <x:is>
          <x:t xml:space="preserve">Vigilancia física (no cubre la capa lógica de sus propios sistemas).</x:t>
        </x:is>
      </x:c>
      <x:c r="G10" s="36" t="n">
        <x:v>4</x:v>
      </x:c>
      <x:c r="H10" s="36" t="n">
        <x:v>2</x:v>
      </x:c>
      <x:c r="I10" s="36" t="n">
        <x:v>4</x:v>
      </x:c>
      <x:c r="J10" s="36" t="n">
        <x:v>2</x:v>
      </x:c>
      <x:c r="K10" s="36" t="n">
        <x:f>MAX(G10:J10)</x:f>
        <x:v>4</x:v>
      </x:c>
      <x:c r="L10" s="36" t="n">
        <x:v>3</x:v>
      </x:c>
      <x:c r="M10" s="36" t="n">
        <x:f>K10*L10</x:f>
        <x:v>12</x:v>
      </x:c>
      <x:c r="N10" s="36" t="str">
        <x:f>IF(M10&gt;=12,"Crítico",IF(M10&gt;=6,"Alto",IF(M10&gt;=3,"Moderado","Bajo")))</x:f>
        <x:v>Crítico</x:v>
      </x:c>
      <x:c r="O10" s="35" t="inlineStr">
        <x:is>
          <x:t xml:space="preserve">Jefe de seguridad</x:t>
        </x:is>
      </x:c>
      <x:c r="P10" s="35" t="inlineStr">
        <x:is>
          <x:t xml:space="preserve">Modificar — PT-07</x:t>
        </x:is>
      </x:c>
      <x:c r="Q10" s="36" t="inlineStr">
        <x:is>
          <x:t xml:space="preserve">v1.0</x:t>
        </x:is>
      </x:c>
      <x:c r="R10" s="43" t="str">
        <x:v>Exposición lógica de cámaras/domótica; observación del interior y apertura de accesos físicos.</x:v>
      </x:c>
    </x:row>
    <x:row r="11" s="15" customFormat="1" ht="140" hidden="0" customHeight="1">
      <x:c r="A11" s="35" t="inlineStr">
        <x:is>
          <x:t xml:space="preserve">RSC-010</x:t>
        </x:is>
      </x:c>
      <x:c r="B11" s="35" t="inlineStr">
        <x:is>
          <x:t xml:space="preserve">Suplantación del principal ante la banca mediante voz sintética</x:t>
        </x:is>
      </x:c>
      <x:c r="C11" s="35" t="inlineStr">
        <x:is>
          <x:t xml:space="preserve">Cientos de horas de voz pública del principal → clonación de voz → llamada a banca o a la asistente ordenando disposición urgente → ejecución sin verificación.</x:t>
        </x:is>
      </x:c>
      <x:c r="D11" s="35" t="inlineStr">
        <x:is>
          <x:t xml:space="preserve">Banca privada; Familia</x:t>
        </x:is>
      </x:c>
      <x:c r="E11" s="36" t="str">
        <x:v>Digital</x:v>
      </x:c>
      <x:c r="F11" s="35" t="inlineStr">
        <x:is>
          <x:t xml:space="preserve">Ninguno: la voz funciona hoy como factor de confianza de facto.</x:t>
        </x:is>
      </x:c>
      <x:c r="G11" s="36" t="n">
        <x:v>1</x:v>
      </x:c>
      <x:c r="H11" s="36" t="n">
        <x:v>4</x:v>
      </x:c>
      <x:c r="I11" s="36" t="n">
        <x:v>2</x:v>
      </x:c>
      <x:c r="J11" s="36" t="n">
        <x:v>1</x:v>
      </x:c>
      <x:c r="K11" s="36" t="n">
        <x:f>MAX(G11:J11)</x:f>
        <x:v>4</x:v>
      </x:c>
      <x:c r="L11" s="36" t="n">
        <x:v>2</x:v>
      </x:c>
      <x:c r="M11" s="36" t="n">
        <x:f>K11*L11</x:f>
        <x:v>8</x:v>
      </x:c>
      <x:c r="N11" s="36" t="str">
        <x:f>IF(M11&gt;=12,"Crítico",IF(M11&gt;=6,"Alto",IF(M11&gt;=3,"Moderado","Bajo")))</x:f>
        <x:v>Alto</x:v>
      </x:c>
      <x:c r="O11" s="35" t="inlineStr">
        <x:is>
          <x:t xml:space="preserve">Resp. financiero</x:t>
        </x:is>
      </x:c>
      <x:c r="P11" s="35" t="inlineStr">
        <x:is>
          <x:t xml:space="preserve">Modificar — PT-06</x:t>
        </x:is>
      </x:c>
      <x:c r="Q11" s="36" t="inlineStr">
        <x:is>
          <x:t xml:space="preserve">v1.0</x:t>
        </x:is>
      </x:c>
      <x:c r="R11" s="43" t="str">
        <x:v>Clonación de voz y llamada para obtener una disposición. No se describe acceso físico del atacante; la presencia exigida desde 50.000 euros pertenece al tratamiento.</x:v>
      </x:c>
    </x:row>
    <x:row r="12" s="15" customFormat="1" ht="140" hidden="0" customHeight="1">
      <x:c r="A12" s="35" t="inlineStr">
        <x:is>
          <x:t xml:space="preserve">RSC-011</x:t>
        </x:is>
      </x:c>
      <x:c r="B12" s="35" t="inlineStr">
        <x:is>
          <x:t xml:space="preserve">Copia de información por acceso físico no controlado en la residencia</x:t>
        </x:is>
      </x:c>
      <x:c r="C12" s="35" t="inlineStr">
        <x:is>
          <x:t xml:space="preserve">Personal doméstico, contratas o invitados con acceso no acompañado → copia de documentos, fotografía de pantallas y llaves, acceso al NAS por la red común.</x:t>
        </x:is>
      </x:c>
      <x:c r="D12" s="35" t="inlineStr">
        <x:is>
          <x:t xml:space="preserve">Servicios contratados; Contratas y trabajos; Físico↔Digital</x:t>
        </x:is>
      </x:c>
      <x:c r="E12" s="36" t="str">
        <x:v>Ambos</x:v>
      </x:c>
      <x:c r="F12" s="35" t="inlineStr">
        <x:is>
          <x:t xml:space="preserve">Control de entrada a la finca; nada dentro (red única, soportes sin proteger).</x:t>
        </x:is>
      </x:c>
      <x:c r="G12" s="36" t="n">
        <x:v>3</x:v>
      </x:c>
      <x:c r="H12" s="36" t="n">
        <x:v>3</x:v>
      </x:c>
      <x:c r="I12" s="36" t="n">
        <x:v>3</x:v>
      </x:c>
      <x:c r="J12" s="36" t="n">
        <x:v>2</x:v>
      </x:c>
      <x:c r="K12" s="36" t="n">
        <x:f>MAX(G12:J12)</x:f>
        <x:v>3</x:v>
      </x:c>
      <x:c r="L12" s="36" t="n">
        <x:v>4</x:v>
      </x:c>
      <x:c r="M12" s="36" t="n">
        <x:f>K12*L12</x:f>
        <x:v>12</x:v>
      </x:c>
      <x:c r="N12" s="36" t="str">
        <x:f>IF(M12&gt;=12,"Crítico",IF(M12&gt;=6,"Alto",IF(M12&gt;=3,"Moderado","Bajo")))</x:f>
        <x:v>Crítico</x:v>
      </x:c>
      <x:c r="O12" s="35" t="inlineStr">
        <x:is>
          <x:t xml:space="preserve">Jefe de seguridad</x:t>
        </x:is>
      </x:c>
      <x:c r="P12" s="35" t="inlineStr">
        <x:is>
          <x:t xml:space="preserve">Modificar — PT-08</x:t>
        </x:is>
      </x:c>
      <x:c r="Q12" s="36" t="inlineStr">
        <x:is>
          <x:t xml:space="preserve">v1.0 (P revalorada)</x:t>
        </x:is>
      </x:c>
      <x:c r="R12" s="43" t="str">
        <x:v>Acceso no acompañado a la residencia, documentos y llaves; fotografía de pantallas y acceso al NAS por la red común.</x:v>
      </x:c>
    </x:row>
    <x:row r="13" s="15" customFormat="1" ht="140" hidden="0" customHeight="1">
      <x:c r="A13" s="35" t="inlineStr">
        <x:is>
          <x:t xml:space="preserve">RSC-012</x:t>
        </x:is>
      </x:c>
      <x:c r="B13" s="35" t="inlineStr">
        <x:is>
          <x:t xml:space="preserve">Pérdida o robo de dispositivo en viaje con información sin cifrar</x:t>
        </x:is>
      </x:c>
      <x:c r="C13" s="35" t="inlineStr">
        <x:is>
          <x:t xml:space="preserve">Dispositivo habitual viaja con información Confidencial/Restringida sin cifrar → pérdida o sustracción → acceso directo a agenda, documentos y credenciales.</x:t>
        </x:is>
      </x:c>
      <x:c r="D13" s="35" t="inlineStr">
        <x:is>
          <x:t xml:space="preserve">Familia; Proveedores de viaje</x:t>
        </x:is>
      </x:c>
      <x:c r="E13" s="36" t="str">
        <x:v>Ambos</x:v>
      </x:c>
      <x:c r="F13" s="35" t="inlineStr">
        <x:is>
          <x:t xml:space="preserve">Ninguno: sin cifrado verificado ni borrado remoto.</x:t>
        </x:is>
      </x:c>
      <x:c r="G13" s="36" t="n">
        <x:v>3</x:v>
      </x:c>
      <x:c r="H13" s="36" t="n">
        <x:v>3</x:v>
      </x:c>
      <x:c r="I13" s="36" t="n">
        <x:v>3</x:v>
      </x:c>
      <x:c r="J13" s="36" t="n">
        <x:v>2</x:v>
      </x:c>
      <x:c r="K13" s="36" t="n">
        <x:f>MAX(G13:J13)</x:f>
        <x:v>3</x:v>
      </x:c>
      <x:c r="L13" s="36" t="n">
        <x:v>3</x:v>
      </x:c>
      <x:c r="M13" s="36" t="n">
        <x:f>K13*L13</x:f>
        <x:v>9</x:v>
      </x:c>
      <x:c r="N13" s="36" t="str">
        <x:f>IF(M13&gt;=12,"Crítico",IF(M13&gt;=6,"Alto",IF(M13&gt;=3,"Moderado","Bajo")))</x:f>
        <x:v>Alto</x:v>
      </x:c>
      <x:c r="O13" s="35" t="inlineStr">
        <x:is>
          <x:t xml:space="preserve">Jefe de seguridad</x:t>
        </x:is>
      </x:c>
      <x:c r="P13" s="35" t="inlineStr">
        <x:is>
          <x:t xml:space="preserve">Modificar — PT-09</x:t>
        </x:is>
      </x:c>
      <x:c r="Q13" s="36" t="inlineStr">
        <x:is>
          <x:t xml:space="preserve">v1.0</x:t>
        </x:is>
      </x:c>
      <x:c r="R13" s="43" t="str">
        <x:v>Pérdida o sustracción física del dispositivo y acceso a información digital sin cifrar.</x:v>
      </x:c>
    </x:row>
    <x:row r="14" s="15" customFormat="1" ht="140" hidden="0" customHeight="1">
      <x:c r="A14" s="35" t="inlineStr">
        <x:is>
          <x:t xml:space="preserve">RSC-013</x:t>
        </x:is>
      </x:c>
      <x:c r="B14" s="35" t="inlineStr">
        <x:is>
          <x:t xml:space="preserve">Ransomware o pérdida del servidor y NAS</x:t>
        </x:is>
      </x:c>
      <x:c r="C14" s="35" t="inlineStr">
        <x:is>
          <x:t xml:space="preserve">Phishing a un empleado o vulnerabilidad sin parchear → cifrado del servidor de la oficina y del NAS doméstico → pérdida de disponibilidad y posible exfiltración.</x:t>
        </x:is>
      </x:c>
      <x:c r="D14" s="35" t="inlineStr">
        <x:is>
          <x:t xml:space="preserve">MSP</x:t>
        </x:is>
      </x:c>
      <x:c r="E14" s="36" t="str">
        <x:v>Digital</x:v>
      </x:c>
      <x:c r="F14" s="35" t="inlineStr">
        <x:is>
          <x:t xml:space="preserve">Antivirus básico; copias sin verificar gestionadas por el MSP.</x:t>
        </x:is>
      </x:c>
      <x:c r="G14" s="36" t="n">
        <x:v>1</x:v>
      </x:c>
      <x:c r="H14" s="36" t="n">
        <x:v>3</x:v>
      </x:c>
      <x:c r="I14" s="36" t="n">
        <x:v>3</x:v>
      </x:c>
      <x:c r="J14" s="36" t="n">
        <x:v>2</x:v>
      </x:c>
      <x:c r="K14" s="36" t="n">
        <x:f>MAX(G14:J14)</x:f>
        <x:v>3</x:v>
      </x:c>
      <x:c r="L14" s="36" t="n">
        <x:v>3</x:v>
      </x:c>
      <x:c r="M14" s="36" t="n">
        <x:f>K14*L14</x:f>
        <x:v>9</x:v>
      </x:c>
      <x:c r="N14" s="36" t="str">
        <x:f>IF(M14&gt;=12,"Crítico",IF(M14&gt;=6,"Alto",IF(M14&gt;=3,"Moderado","Bajo")))</x:f>
        <x:v>Alto</x:v>
      </x:c>
      <x:c r="O14" s="35" t="inlineStr">
        <x:is>
          <x:t xml:space="preserve">Dirección General</x:t>
        </x:is>
      </x:c>
      <x:c r="P14" s="35" t="inlineStr">
        <x:is>
          <x:t xml:space="preserve">Modificar — PT-10</x:t>
        </x:is>
      </x:c>
      <x:c r="Q14" s="36" t="inlineStr">
        <x:is>
          <x:t xml:space="preserve">v1.0</x:t>
        </x:is>
      </x:c>
      <x:c r="R14" s="43" t="str">
        <x:v>Phishing o vulnerabilidad, cifrado de servidor/NAS y exfiltración. No se describe destrucción ni sustracción física; la custodia de copias es defensa complementaria.</x:v>
      </x:c>
    </x:row>
    <x:row r="15" s="15" customFormat="1" ht="140" hidden="0" customHeight="1">
      <x:c r="A15" s="35" t="inlineStr">
        <x:is>
          <x:t xml:space="preserve">RSC-014</x:t>
        </x:is>
      </x:c>
      <x:c r="B15" s="35" t="inlineStr">
        <x:is>
          <x:t xml:space="preserve">Abuso o coacción de la identidad digital delegada del principal</x:t>
        </x:is>
      </x:c>
      <x:c r="C15" s="35" t="inlineStr">
        <x:is>
          <x:t xml:space="preserve">La asistente personal concentra correo, firmas y credenciales del principal → compromiso de su puesto, coacción o suplantación interna → actos de disposición no autorizados.</x:t>
        </x:is>
      </x:c>
      <x:c r="D15" s="35" t="inlineStr">
        <x:is>
          <x:t xml:space="preserve">Banca privada; Familia</x:t>
        </x:is>
      </x:c>
      <x:c r="E15" s="36" t="str">
        <x:v>Pendiente</x:v>
      </x:c>
      <x:c r="F15" s="35" t="inlineStr">
        <x:is>
          <x:t xml:space="preserve">Confianza personal; sin registro de actos por delegación.</x:t>
        </x:is>
      </x:c>
      <x:c r="G15" s="36" t="n">
        <x:v>2</x:v>
      </x:c>
      <x:c r="H15" s="36" t="n">
        <x:v>4</x:v>
      </x:c>
      <x:c r="I15" s="36" t="n">
        <x:v>3</x:v>
      </x:c>
      <x:c r="J15" s="36" t="n">
        <x:v>2</x:v>
      </x:c>
      <x:c r="K15" s="36" t="n">
        <x:f>MAX(G15:J15)</x:f>
        <x:v>4</x:v>
      </x:c>
      <x:c r="L15" s="36" t="n">
        <x:v>2</x:v>
      </x:c>
      <x:c r="M15" s="36" t="n">
        <x:f>K15*L15</x:f>
        <x:v>8</x:v>
      </x:c>
      <x:c r="N15" s="36" t="str">
        <x:f>IF(M15&gt;=12,"Crítico",IF(M15&gt;=6,"Alto",IF(M15&gt;=3,"Moderado","Bajo")))</x:f>
        <x:v>Alto</x:v>
      </x:c>
      <x:c r="O15" s="35" t="inlineStr">
        <x:is>
          <x:t xml:space="preserve">Dirección General</x:t>
        </x:is>
      </x:c>
      <x:c r="P15" s="35" t="inlineStr">
        <x:is>
          <x:t xml:space="preserve">Modificar — PT-06</x:t>
        </x:is>
      </x:c>
      <x:c r="Q15" s="36" t="inlineStr">
        <x:is>
          <x:t xml:space="preserve">v1.0</x:t>
        </x:is>
      </x:c>
      <x:c r="R15" s="43" t="str">
        <x:v>La cadena acredita compromiso de puesto y abuso de identidad digital, pero no concreta el medio de coacción. El componente físico debe precisarse antes de excluirlo o acreditarlo; no se amplía el escenario.</x:v>
      </x:c>
    </x:row>
    <x:row r="16" s="15" customFormat="1" ht="140" hidden="0" customHeight="1">
      <x:c r="A16" s="35" t="inlineStr">
        <x:is>
          <x:t xml:space="preserve">RSC-015</x:t>
        </x:is>
      </x:c>
      <x:c r="B16" s="35" t="inlineStr">
        <x:is>
          <x:t xml:space="preserve">Agregación OSINT del patrimonio y señalamiento público</x:t>
        </x:is>
      </x:c>
      <x:c r="C16" s="35" t="inlineStr">
        <x:is>
          <x:t xml:space="preserve">Registros públicos, prensa histórica y RRSS agregados → perfil patrimonial y de ubicaciones reconstruido → focalización por actores oportunistas.</x:t>
        </x:is>
      </x:c>
      <x:c r="D16" s="35" t="inlineStr">
        <x:is>
          <x:t xml:space="preserve">Familia</x:t>
        </x:is>
      </x:c>
      <x:c r="E16" s="36" t="str">
        <x:v>Ambos</x:v>
      </x:c>
      <x:c r="F16" s="35" t="inlineStr">
        <x:is>
          <x:t xml:space="preserve">Ninguno: sin línea base OSINT ni vigilancia de exposición.</x:t>
        </x:is>
      </x:c>
      <x:c r="G16" s="36" t="n">
        <x:v>3</x:v>
      </x:c>
      <x:c r="H16" s="36" t="n">
        <x:v>2</x:v>
      </x:c>
      <x:c r="I16" s="36" t="n">
        <x:v>3</x:v>
      </x:c>
      <x:c r="J16" s="36" t="n">
        <x:v>1</x:v>
      </x:c>
      <x:c r="K16" s="36" t="n">
        <x:f>MAX(G16:J16)</x:f>
        <x:v>3</x:v>
      </x:c>
      <x:c r="L16" s="36" t="n">
        <x:v>4</x:v>
      </x:c>
      <x:c r="M16" s="36" t="n">
        <x:f>K16*L16</x:f>
        <x:v>12</x:v>
      </x:c>
      <x:c r="N16" s="36" t="str">
        <x:f>IF(M16&gt;=12,"Crítico",IF(M16&gt;=6,"Alto",IF(M16&gt;=3,"Moderado","Bajo")))</x:f>
        <x:v>Crítico</x:v>
      </x:c>
      <x:c r="O16" s="35" t="inlineStr">
        <x:is>
          <x:t xml:space="preserve">Repr. de la propiedad</x:t>
        </x:is>
      </x:c>
      <x:c r="P16" s="35" t="inlineStr">
        <x:is>
          <x:t xml:space="preserve">Modificar — PT-02</x:t>
        </x:is>
      </x:c>
      <x:c r="Q16" s="36" t="inlineStr">
        <x:is>
          <x:t xml:space="preserve">v1.0 (P revalorada)</x:t>
        </x:is>
      </x:c>
      <x:c r="R16" s="43" t="str">
        <x:v>Agregación digital de patrimonio y ubicaciones para el señalamiento y aproximación sobre personas o emplazamientos físicos ya declarados.</x:v>
      </x:c>
    </x:row>
    <x:row r="17" s="15" customFormat="1" ht="140" hidden="0" customHeight="1">
      <x:c r="A17" s="35" t="inlineStr">
        <x:is>
          <x:t xml:space="preserve">RSC-016</x:t>
        </x:is>
      </x:c>
      <x:c r="B17" s="35" t="inlineStr">
        <x:is>
          <x:t xml:space="preserve">Envío de información confidencial a destinatario erróneo</x:t>
        </x:is>
      </x:c>
      <x:c r="C17" s="35" t="inlineStr">
        <x:is>
          <x:t xml:space="preserve">Volumen de intercambios con asesores y banca sin plantillas ni doble comprobación → autocompletado o error humano → información Confidencial a un tercero.</x:t>
        </x:is>
      </x:c>
      <x:c r="D17" s="35" t="inlineStr">
        <x:is>
          <x:t xml:space="preserve">Asesores Dublín; Banca privada</x:t>
        </x:is>
      </x:c>
      <x:c r="E17" s="36" t="str">
        <x:v>Digital</x:v>
      </x:c>
      <x:c r="F17" s="35" t="inlineStr">
        <x:is>
          <x:t xml:space="preserve">Ninguno específico.</x:t>
        </x:is>
      </x:c>
      <x:c r="G17" s="36" t="n">
        <x:v>1</x:v>
      </x:c>
      <x:c r="H17" s="36" t="n">
        <x:v>2</x:v>
      </x:c>
      <x:c r="I17" s="36" t="n">
        <x:v>2</x:v>
      </x:c>
      <x:c r="J17" s="36" t="n">
        <x:v>2</x:v>
      </x:c>
      <x:c r="K17" s="36" t="n">
        <x:f>MAX(G17:J17)</x:f>
        <x:v>2</x:v>
      </x:c>
      <x:c r="L17" s="36" t="n">
        <x:v>3</x:v>
      </x:c>
      <x:c r="M17" s="36" t="n">
        <x:f>K17*L17</x:f>
        <x:v>6</x:v>
      </x:c>
      <x:c r="N17" s="36" t="str">
        <x:f>IF(M17&gt;=12,"Crítico",IF(M17&gt;=6,"Alto",IF(M17&gt;=3,"Moderado","Bajo")))</x:f>
        <x:v>Alto</x:v>
      </x:c>
      <x:c r="O17" s="35" t="inlineStr">
        <x:is>
          <x:t xml:space="preserve">Dirección General</x:t>
        </x:is>
      </x:c>
      <x:c r="P17" s="35" t="inlineStr">
        <x:is>
          <x:t xml:space="preserve">Modificar — PT-06</x:t>
        </x:is>
      </x:c>
      <x:c r="Q17" s="36" t="inlineStr">
        <x:is>
          <x:t xml:space="preserve">v1.0</x:t>
        </x:is>
      </x:c>
      <x:c r="R17" s="43" t="str">
        <x:v>Autocompletado y error de destinatario en intercambios con banca y asesores. No se describe soporte o eslabón físico.</x:v>
      </x:c>
    </x:row>
    <x:row r="18" s="15" customFormat="1" ht="140" hidden="0" customHeight="1">
      <x:c r="A18" s="35" t="inlineStr">
        <x:is>
          <x:t xml:space="preserve">RSC-017</x:t>
        </x:is>
      </x:c>
      <x:c r="B18" s="35" t="inlineStr">
        <x:is>
          <x:t xml:space="preserve">Indisponibilidad temporal de servicios cloud (M365)</x:t>
        </x:is>
      </x:c>
      <x:c r="C18" s="35" t="inlineStr">
        <x:is>
          <x:t xml:space="preserve">Caída del proveedor cloud → indisponibilidad de correo y documentos durante horas → impacto operativo sin exposición de información.</x:t>
        </x:is>
      </x:c>
      <x:c r="D18" s="35" t="inlineStr">
        <x:is>
          <x:t xml:space="preserve">MSP</x:t>
        </x:is>
      </x:c>
      <x:c r="E18" s="36" t="str">
        <x:v>Digital</x:v>
      </x:c>
      <x:c r="F18" s="35" t="inlineStr">
        <x:is>
          <x:t xml:space="preserve">Redundancia del propio proveedor.</x:t>
        </x:is>
      </x:c>
      <x:c r="G18" s="36" t="n">
        <x:v>1</x:v>
      </x:c>
      <x:c r="H18" s="36" t="n">
        <x:v>2</x:v>
      </x:c>
      <x:c r="I18" s="36" t="n">
        <x:v>1</x:v>
      </x:c>
      <x:c r="J18" s="36" t="n">
        <x:v>1</x:v>
      </x:c>
      <x:c r="K18" s="36" t="n">
        <x:f>MAX(G18:J18)</x:f>
        <x:v>2</x:v>
      </x:c>
      <x:c r="L18" s="36" t="n">
        <x:v>2</x:v>
      </x:c>
      <x:c r="M18" s="36" t="n">
        <x:f>K18*L18</x:f>
        <x:v>4</x:v>
      </x:c>
      <x:c r="N18" s="36" t="str">
        <x:f>IF(M18&gt;=12,"Crítico",IF(M18&gt;=6,"Alto",IF(M18&gt;=3,"Moderado","Bajo")))</x:f>
        <x:v>Moderado</x:v>
      </x:c>
      <x:c r="O18" s="35" t="inlineStr">
        <x:is>
          <x:t xml:space="preserve">Dirección General</x:t>
        </x:is>
      </x:c>
      <x:c r="P18" s="35" t="inlineStr">
        <x:is>
          <x:t xml:space="preserve">Retener — aceptado con justificación (DOC-004 §4.4)</x:t>
        </x:is>
      </x:c>
      <x:c r="Q18" s="36" t="inlineStr">
        <x:is>
          <x:t xml:space="preserve">v1.0</x:t>
        </x:is>
      </x:c>
      <x:c r="R18" s="43" t="str">
        <x:v>Caída de servicios de correo y documentos del proveedor. No hay daño físico descrito. Nivel Moderado: fuera del filtro Alto/Crítico, no fuera del SGSI.</x:v>
      </x:c>
    </x:row>
    <x:row r="19" s="15" customFormat="1" ht="140" hidden="0" customHeight="1">
      <x:c r="A19" s="35" t="inlineStr">
        <x:is>
          <x:t xml:space="preserve">RSC-018</x:t>
        </x:is>
      </x:c>
      <x:c r="B19" s="35" t="inlineStr">
        <x:is>
          <x:t xml:space="preserve">Inejecución sistemática de los controles físicos existentes de la residencia</x:t>
        </x:is>
      </x:c>
      <x:c r="C19" s="35" t="inlineStr">
        <x:is>
          <x:t xml:space="preserve">Alarma perimetral no conectada al cierre, ventanas y accesos secundarios abiertos, vigilante distraído en conversación prolongada → el perímetro declarado no existe en la práctica durante ventanas recurrentes y previsibles → intrusión o aproximación sin detección.</x:t>
        </x:is>
      </x:c>
      <x:c r="D19" s="35" t="inlineStr">
        <x:is>
          <x:t xml:space="preserve">Servicios contratados; Físico↔Digital</x:t>
        </x:is>
      </x:c>
      <x:c r="E19" s="36" t="str">
        <x:v>Ambos</x:v>
      </x:c>
      <x:c r="F19" s="35" t="inlineStr">
        <x:is>
          <x:t xml:space="preserve">Alarma, CCTV y vigilancia contratadas y operativas, pero sin verificación de ejecución ni registro de cumplimiento.</x:t>
        </x:is>
      </x:c>
      <x:c r="G19" s="36" t="n">
        <x:v>4</x:v>
      </x:c>
      <x:c r="H19" s="36" t="n">
        <x:v>3</x:v>
      </x:c>
      <x:c r="I19" s="36" t="n">
        <x:v>3</x:v>
      </x:c>
      <x:c r="J19" s="36" t="n">
        <x:v>1</x:v>
      </x:c>
      <x:c r="K19" s="36" t="n">
        <x:f>MAX(G19:J19)</x:f>
        <x:v>4</x:v>
      </x:c>
      <x:c r="L19" s="36" t="n">
        <x:v>4</x:v>
      </x:c>
      <x:c r="M19" s="36" t="n">
        <x:f>K19*L19</x:f>
        <x:v>16</x:v>
      </x:c>
      <x:c r="N19" s="36" t="str">
        <x:f>IF(M19&gt;=12,"Crítico",IF(M19&gt;=6,"Alto",IF(M19&gt;=3,"Moderado","Bajo")))</x:f>
        <x:v>Crítico</x:v>
      </x:c>
      <x:c r="O19" s="35" t="inlineStr">
        <x:is>
          <x:t xml:space="preserve">Jefe de seguridad</x:t>
        </x:is>
      </x:c>
      <x:c r="P19" s="35" t="inlineStr">
        <x:is>
          <x:t xml:space="preserve">Modificar — PT-11 (prioritario)</x:t>
        </x:is>
      </x:c>
      <x:c r="Q19" s="37" t="inlineStr">
        <x:is>
          <x:t xml:space="preserve">v1.1 — NUEVO</x:t>
        </x:is>
      </x:c>
      <x:c r="R19" s="43" t="str">
        <x:v>Aberturas, rondas y perímetro físicos; armado y supervisión técnica de alarma/CCTV conectados ya descritos en el caso.</x:v>
      </x:c>
    </x:row>
    <x:row r="20" s="15" customFormat="1" ht="140" hidden="0" customHeight="1">
      <x:c r="A20" s="35" t="inlineStr">
        <x:is>
          <x:t xml:space="preserve">RSC-019</x:t>
        </x:is>
      </x:c>
      <x:c r="B20" s="35" t="inlineStr">
        <x:is>
          <x:t xml:space="preserve">Transporte y entrega de efectivo y valores en mano sin protocolo</x:t>
        </x:is>
      </x:c>
      <x:c r="C20" s="35" t="inlineStr">
        <x:is>
          <x:t xml:space="preserve">Disposición de efectivo o valores movida físicamente por el principal o una persona de confianza, sin doble validación, sin ruta variable y sin registro → el portador se convierte en objetivo señalado y un desvío o pérdida no es reconstruible a posteriori.</x:t>
        </x:is>
      </x:c>
      <x:c r="D20" s="35" t="inlineStr">
        <x:is>
          <x:t xml:space="preserve">Banca privada; Familia</x:t>
        </x:is>
      </x:c>
      <x:c r="E20" s="36" t="str">
        <x:v>Fisico</x:v>
      </x:c>
      <x:c r="F20" s="35" t="inlineStr">
        <x:is>
          <x:t xml:space="preserve">Ninguno: la práctica se sostiene solo en la confianza personal en el portador.</x:t>
        </x:is>
      </x:c>
      <x:c r="G20" s="36" t="n">
        <x:v>4</x:v>
      </x:c>
      <x:c r="H20" s="36" t="n">
        <x:v>4</x:v>
      </x:c>
      <x:c r="I20" s="36" t="n">
        <x:v>2</x:v>
      </x:c>
      <x:c r="J20" s="36" t="n">
        <x:v>3</x:v>
      </x:c>
      <x:c r="K20" s="36" t="n">
        <x:f>MAX(G20:J20)</x:f>
        <x:v>4</x:v>
      </x:c>
      <x:c r="L20" s="36" t="n">
        <x:v>3</x:v>
      </x:c>
      <x:c r="M20" s="36" t="n">
        <x:f>K20*L20</x:f>
        <x:v>12</x:v>
      </x:c>
      <x:c r="N20" s="36" t="str">
        <x:f>IF(M20&gt;=12,"Crítico",IF(M20&gt;=6,"Alto",IF(M20&gt;=3,"Moderado","Bajo")))</x:f>
        <x:v>Crítico</x:v>
      </x:c>
      <x:c r="O20" s="35" t="inlineStr">
        <x:is>
          <x:t xml:space="preserve">Resp. financiero</x:t>
        </x:is>
      </x:c>
      <x:c r="P20" s="35" t="inlineStr">
        <x:is>
          <x:t xml:space="preserve">Modificar — PT-12 (prioritario)</x:t>
        </x:is>
      </x:c>
      <x:c r="Q20" s="37" t="inlineStr">
        <x:is>
          <x:t xml:space="preserve">v1.1 — NUEVO</x:t>
        </x:is>
      </x:c>
      <x:c r="R20" s="43" t="str">
        <x:v>Transporte y entrega material de efectivo/valores, portador y ruta. El procedimiento y la trazabilidad en papel no introducen por sí solos un dominio digital.</x:v>
      </x:c>
    </x:row>
    <x:row r="21" s="15" customFormat="1" ht="140" hidden="0" customHeight="1">
      <x:c r="A21" s="35" t="inlineStr">
        <x:is>
          <x:t xml:space="preserve">RSC-020</x:t>
        </x:is>
      </x:c>
      <x:c r="B21" s="35" t="inlineStr">
        <x:is>
          <x:t xml:space="preserve">Acceso de obras, reparaciones y contratas sin planificación ni acreditación</x:t>
        </x:is>
      </x:c>
      <x:c r="C21" s="35" t="inlineStr">
        <x:is>
          <x:t xml:space="preserve">Trabajos contratados sin preaviso, sin lista nominal, sin acompañamiento ni control de horario → personas desconocidas circulando por zonas sensibles de la residencia → reconocimiento interior, copia de llaves, colocación de dispositivos o simple filtración de lo visto.</x:t>
        </x:is>
      </x:c>
      <x:c r="D21" s="35" t="inlineStr">
        <x:is>
          <x:t xml:space="preserve">Contratas y trabajos; Físico↔Digital</x:t>
        </x:is>
      </x:c>
      <x:c r="E21" s="36" t="str">
        <x:v>Ambos</x:v>
      </x:c>
      <x:c r="F21" s="35" t="inlineStr">
        <x:is>
          <x:t xml:space="preserve">Control de entrada a la finca sin identificación nominal ni acreditación previa.</x:t>
        </x:is>
      </x:c>
      <x:c r="G21" s="36" t="n">
        <x:v>3</x:v>
      </x:c>
      <x:c r="H21" s="36" t="n">
        <x:v>3</x:v>
      </x:c>
      <x:c r="I21" s="36" t="n">
        <x:v>3</x:v>
      </x:c>
      <x:c r="J21" s="36" t="n">
        <x:v>2</x:v>
      </x:c>
      <x:c r="K21" s="36" t="n">
        <x:f>MAX(G21:J21)</x:f>
        <x:v>3</x:v>
      </x:c>
      <x:c r="L21" s="36" t="n">
        <x:v>4</x:v>
      </x:c>
      <x:c r="M21" s="36" t="n">
        <x:f>K21*L21</x:f>
        <x:v>12</x:v>
      </x:c>
      <x:c r="N21" s="36" t="str">
        <x:f>IF(M21&gt;=12,"Crítico",IF(M21&gt;=6,"Alto",IF(M21&gt;=3,"Moderado","Bajo")))</x:f>
        <x:v>Crítico</x:v>
      </x:c>
      <x:c r="O21" s="35" t="inlineStr">
        <x:is>
          <x:t xml:space="preserve">Jefe de seguridad</x:t>
        </x:is>
      </x:c>
      <x:c r="P21" s="35" t="inlineStr">
        <x:is>
          <x:t xml:space="preserve">Modificar — PT-13</x:t>
        </x:is>
      </x:c>
      <x:c r="Q21" s="37" t="inlineStr">
        <x:is>
          <x:t xml:space="preserve">v1.1 — NUEVO</x:t>
        </x:is>
      </x:c>
      <x:c r="R21" s="43" t="str">
        <x:v>Entrada y circulación de contratas en zonas sensibles; la cadena incluye colocación de dispositivos, con exposición físico-digital ya declarada en la interfaz. No se presume eficacia del registro en papel como medida digital.</x:v>
      </x:c>
    </x:row>
    <x:row r="22" s="15" customFormat="1" ht="140" hidden="0" customHeight="1">
      <x:c r="A22" s="35" t="inlineStr">
        <x:is>
          <x:t xml:space="preserve">RSC-021</x:t>
        </x:is>
      </x:c>
      <x:c r="B22" s="35" t="inlineStr">
        <x:is>
          <x:t xml:space="preserve">Introducción de terceros desconocidos en la residencia por los hijos</x:t>
        </x:is>
      </x:c>
      <x:c r="C22" s="35" t="inlineStr">
        <x:is>
          <x:t xml:space="preserve">Los hijos invitan a personas no verificadas sin aviso previo → acceso a zonas interiores, observación de rutinas y de la disposición de la casa → vía de aproximación de un actor hostil bajo apariencia de relación social.</x:t>
        </x:is>
      </x:c>
      <x:c r="D22" s="35" t="inlineStr">
        <x:is>
          <x:t xml:space="preserve">Familia; Entorno social; Físico↔Digital</x:t>
        </x:is>
      </x:c>
      <x:c r="E22" s="36" t="str">
        <x:v>Fisico</x:v>
      </x:c>
      <x:c r="F22" s="35" t="inlineStr">
        <x:is>
          <x:t xml:space="preserve">Ninguno: no existe norma de aviso ni verificación de invitados.</x:t>
        </x:is>
      </x:c>
      <x:c r="G22" s="36" t="n">
        <x:v>4</x:v>
      </x:c>
      <x:c r="H22" s="36" t="n">
        <x:v>3</x:v>
      </x:c>
      <x:c r="I22" s="36" t="n">
        <x:v>3</x:v>
      </x:c>
      <x:c r="J22" s="36" t="n">
        <x:v>1</x:v>
      </x:c>
      <x:c r="K22" s="36" t="n">
        <x:f>MAX(G22:J22)</x:f>
        <x:v>4</x:v>
      </x:c>
      <x:c r="L22" s="36" t="n">
        <x:v>4</x:v>
      </x:c>
      <x:c r="M22" s="36" t="n">
        <x:f>K22*L22</x:f>
        <x:v>16</x:v>
      </x:c>
      <x:c r="N22" s="36" t="str">
        <x:f>IF(M22&gt;=12,"Crítico",IF(M22&gt;=6,"Alto",IF(M22&gt;=3,"Moderado","Bajo")))</x:f>
        <x:v>Crítico</x:v>
      </x:c>
      <x:c r="O22" s="35" t="inlineStr">
        <x:is>
          <x:t xml:space="preserve">Repr. de la propiedad</x:t>
        </x:is>
      </x:c>
      <x:c r="P22" s="35" t="inlineStr">
        <x:is>
          <x:t xml:space="preserve">Modificar — PT-13</x:t>
        </x:is>
      </x:c>
      <x:c r="Q22" s="37" t="inlineStr">
        <x:is>
          <x:t xml:space="preserve">v1.1 — NUEVO</x:t>
        </x:is>
      </x:c>
      <x:c r="R22" s="43" t="str">
        <x:v>Invitación y acceso presencial de terceros, observación del interior y aproximación social. El sistema digital de registro de visitas es tratamiento complementario; no se introduce un ataque digital en la cadena.</x:v>
      </x:c>
    </x:row>
    <x:row r="23" s="15" customFormat="1" ht="140" hidden="0" customHeight="1">
      <x:c r="A23" s="35" t="inlineStr">
        <x:is>
          <x:t xml:space="preserve">RSC-022</x:t>
        </x:is>
      </x:c>
      <x:c r="B23" s="35" t="inlineStr">
        <x:is>
          <x:t xml:space="preserve">Ausencia de preparación de seguridad en destino durante los desplazamientos</x:t>
        </x:is>
      </x:c>
      <x:c r="C23" s="35" t="inlineStr">
        <x:is>
          <x:t xml:space="preserve">Viajes decididos y reservados sin evaluación previa del destino, del alojamiento ni de los servicios locales → llegada a un entorno desconocido con itinerario ya difundido entre terceros → exposición de las personas fuera del perímetro protegido.</x:t>
        </x:is>
      </x:c>
      <x:c r="D23" s="35" t="inlineStr">
        <x:is>
          <x:t xml:space="preserve">Familia; Proveedores de viaje</x:t>
        </x:is>
      </x:c>
      <x:c r="E23" s="36" t="str">
        <x:v>Ambos</x:v>
      </x:c>
      <x:c r="F23" s="35" t="inlineStr">
        <x:is>
          <x:t xml:space="preserve">Ninguno: la seguridad en viaje se improvisa en destino.</x:t>
        </x:is>
      </x:c>
      <x:c r="G23" s="36" t="n">
        <x:v>4</x:v>
      </x:c>
      <x:c r="H23" s="36" t="n">
        <x:v>2</x:v>
      </x:c>
      <x:c r="I23" s="36" t="n">
        <x:v>2</x:v>
      </x:c>
      <x:c r="J23" s="36" t="n">
        <x:v>1</x:v>
      </x:c>
      <x:c r="K23" s="36" t="n">
        <x:f>MAX(G23:J23)</x:f>
        <x:v>4</x:v>
      </x:c>
      <x:c r="L23" s="36" t="n">
        <x:v>3</x:v>
      </x:c>
      <x:c r="M23" s="36" t="n">
        <x:f>K23*L23</x:f>
        <x:v>12</x:v>
      </x:c>
      <x:c r="N23" s="36" t="str">
        <x:f>IF(M23&gt;=12,"Crítico",IF(M23&gt;=6,"Alto",IF(M23&gt;=3,"Moderado","Bajo")))</x:f>
        <x:v>Crítico</x:v>
      </x:c>
      <x:c r="O23" s="35" t="inlineStr">
        <x:is>
          <x:t xml:space="preserve">Jefe de seguridad</x:t>
        </x:is>
      </x:c>
      <x:c r="P23" s="35" t="inlineStr">
        <x:is>
          <x:t xml:space="preserve">Modificar — PT-09</x:t>
        </x:is>
      </x:c>
      <x:c r="Q23" s="37" t="inlineStr">
        <x:is>
          <x:t xml:space="preserve">v1.1 — NUEVO</x:t>
        </x:is>
      </x:c>
      <x:c r="R23" s="43" t="str">
        <x:v>Exposición física en destino y difusión del itinerario entre proveedores, por los canales de agenda y comunicaciones del alcance y DOC-008. No se añaden plataformas.</x:v>
      </x:c>
    </x:row>
    <x:row r="24" s="15" customFormat="1" ht="140" hidden="0" customHeight="1">
      <x:c r="A24" s="35" t="inlineStr">
        <x:is>
          <x:t xml:space="preserve">RSC-023</x:t>
        </x:is>
      </x:c>
      <x:c r="B24" s="35" t="inlineStr">
        <x:is>
          <x:t xml:space="preserve">Documentación patrimonial en papel dispersa y sin control</x:t>
        </x:is>
      </x:c>
      <x:c r="C24" s="35" t="inlineStr">
        <x:is>
          <x:t xml:space="preserve">Documentación societaria, fiscal y patrimonial correcta pero conservada en papel, repartida entre oficina y residencia, sin inventario, sin custodia y sin control de acceso → visible o sustraíble por cualquiera que entre, y no se puede saber qué falta.</x:t>
        </x:is>
      </x:c>
      <x:c r="D24" s="35" t="inlineStr">
        <x:is>
          <x:t xml:space="preserve">Servicios contratados; Contratas y trabajos</x:t>
        </x:is>
      </x:c>
      <x:c r="E24" s="36" t="str">
        <x:v>Fisico</x:v>
      </x:c>
      <x:c r="F24" s="35" t="inlineStr">
        <x:is>
          <x:t xml:space="preserve">Ninguno: no hay inventario documental ni custodia definida.</x:t>
        </x:is>
      </x:c>
      <x:c r="G24" s="36" t="n">
        <x:v>1</x:v>
      </x:c>
      <x:c r="H24" s="36" t="n">
        <x:v>3</x:v>
      </x:c>
      <x:c r="I24" s="36" t="n">
        <x:v>3</x:v>
      </x:c>
      <x:c r="J24" s="36" t="n">
        <x:v>3</x:v>
      </x:c>
      <x:c r="K24" s="36" t="n">
        <x:f>MAX(G24:J24)</x:f>
        <x:v>3</x:v>
      </x:c>
      <x:c r="L24" s="36" t="n">
        <x:v>4</x:v>
      </x:c>
      <x:c r="M24" s="36" t="n">
        <x:f>K24*L24</x:f>
        <x:v>12</x:v>
      </x:c>
      <x:c r="N24" s="36" t="str">
        <x:f>IF(M24&gt;=12,"Crítico",IF(M24&gt;=6,"Alto",IF(M24&gt;=3,"Moderado","Bajo")))</x:f>
        <x:v>Crítico</x:v>
      </x:c>
      <x:c r="O24" s="35" t="inlineStr">
        <x:is>
          <x:t xml:space="preserve">Dirección General</x:t>
        </x:is>
      </x:c>
      <x:c r="P24" s="35" t="inlineStr">
        <x:is>
          <x:t xml:space="preserve">Modificar — PT-14</x:t>
        </x:is>
      </x:c>
      <x:c r="Q24" s="37" t="inlineStr">
        <x:is>
          <x:t xml:space="preserve">v1.1 — NUEVO</x:t>
        </x:is>
      </x:c>
      <x:c r="R24" s="43" t="str">
        <x:v>Papel disperso, visible y sustraíble en oficina/residencia. La digitalización prevista es una opción de tratamiento, no un componente digital del escenario inicial.</x:v>
      </x:c>
    </x:row>
    <x:row r="25" s="15" customFormat="1" ht="140" hidden="0" customHeight="1">
      <x:c r="A25" s="35" t="inlineStr">
        <x:is>
          <x:t xml:space="preserve">RSC-024</x:t>
        </x:is>
      </x:c>
      <x:c r="B25" s="35" t="inlineStr">
        <x:is>
          <x:t xml:space="preserve">Obsolescencia técnica del proveedor informático de referencia</x:t>
        </x:is>
      </x:c>
      <x:c r="C25" s="35" t="inlineStr">
        <x:is>
          <x:t xml:space="preserve">El proveedor habitual mantiene los sistemas con criterios desactualizados y desconoce las amenazas y medidas actuales → decisiones técnicas por defecto, sin línea base ni endurecimiento → vulnerabilidades persistentes que nadie identifica porque nadie las busca.</x:t>
        </x:is>
      </x:c>
      <x:c r="D25" s="35" t="inlineStr">
        <x:is>
          <x:t xml:space="preserve">MSP</x:t>
        </x:is>
      </x:c>
      <x:c r="E25" s="36" t="str">
        <x:v>Digital</x:v>
      </x:c>
      <x:c r="F25" s="35" t="inlineStr">
        <x:is>
          <x:t xml:space="preserve">Servicio contratado y operativo, sin verificación independiente de su criterio técnico.</x:t>
        </x:is>
      </x:c>
      <x:c r="G25" s="36" t="n">
        <x:v>1</x:v>
      </x:c>
      <x:c r="H25" s="36" t="n">
        <x:v>3</x:v>
      </x:c>
      <x:c r="I25" s="36" t="n">
        <x:v>3</x:v>
      </x:c>
      <x:c r="J25" s="36" t="n">
        <x:v>2</x:v>
      </x:c>
      <x:c r="K25" s="36" t="n">
        <x:f>MAX(G25:J25)</x:f>
        <x:v>3</x:v>
      </x:c>
      <x:c r="L25" s="36" t="n">
        <x:v>3</x:v>
      </x:c>
      <x:c r="M25" s="36" t="n">
        <x:f>K25*L25</x:f>
        <x:v>9</x:v>
      </x:c>
      <x:c r="N25" s="36" t="str">
        <x:f>IF(M25&gt;=12,"Crítico",IF(M25&gt;=6,"Alto",IF(M25&gt;=3,"Moderado","Bajo")))</x:f>
        <x:v>Alto</x:v>
      </x:c>
      <x:c r="O25" s="35" t="inlineStr">
        <x:is>
          <x:t xml:space="preserve">Dirección General</x:t>
        </x:is>
      </x:c>
      <x:c r="P25" s="35" t="inlineStr">
        <x:is>
          <x:t xml:space="preserve">Modificar — PT-15</x:t>
        </x:is>
      </x:c>
      <x:c r="Q25" s="37" t="inlineStr">
        <x:is>
          <x:t xml:space="preserve">v1.1 — NUEVO</x:t>
        </x:is>
      </x:c>
      <x:c r="R25" s="43" t="str">
        <x:v>Decisiones de configuración desactualizadas y vulnerabilidades técnicas. El inventario de equipos no prueba un eslabón físico de ataque.</x:v>
      </x:c>
    </x:row>
    <x:row r="26" s="15" customFormat="1" ht="140" hidden="0" customHeight="1">
      <x:c r="A26" s="35" t="inlineStr">
        <x:is>
          <x:t xml:space="preserve">RSC-025</x:t>
        </x:is>
      </x:c>
      <x:c r="B26" s="35" t="inlineStr">
        <x:is>
          <x:t xml:space="preserve">Exposición de la familia en desplazamientos rutinarios por fallos de coordinación</x:t>
        </x:is>
      </x:c>
      <x:c r="C26" s="35" t="inlineStr">
        <x:is>
          <x:t xml:space="preserve">Retrasos recurrentes del servicio de conducción → la familia espera en punto fijo, previsible y sin cobertura durante períodos prolongados → ventana de aproximación, observación o acción directa sobre las personas.</x:t>
        </x:is>
      </x:c>
      <x:c r="D26" s="35" t="inlineStr">
        <x:is>
          <x:t xml:space="preserve">Familia; Servicios contratados</x:t>
        </x:is>
      </x:c>
      <x:c r="E26" s="36" t="str">
        <x:v>Fisico</x:v>
      </x:c>
      <x:c r="F26" s="35" t="inlineStr">
        <x:is>
          <x:t xml:space="preserve">Servicio de conducción contratado, sin protocolo de puntualidad, punto de espera ni aviso.</x:t>
        </x:is>
      </x:c>
      <x:c r="G26" s="36" t="n">
        <x:v>4</x:v>
      </x:c>
      <x:c r="H26" s="36" t="n">
        <x:v>2</x:v>
      </x:c>
      <x:c r="I26" s="36" t="n">
        <x:v>1</x:v>
      </x:c>
      <x:c r="J26" s="36" t="n">
        <x:v>1</x:v>
      </x:c>
      <x:c r="K26" s="36" t="n">
        <x:f>MAX(G26:J26)</x:f>
        <x:v>4</x:v>
      </x:c>
      <x:c r="L26" s="36" t="n">
        <x:v>3</x:v>
      </x:c>
      <x:c r="M26" s="36" t="n">
        <x:f>K26*L26</x:f>
        <x:v>12</x:v>
      </x:c>
      <x:c r="N26" s="36" t="str">
        <x:f>IF(M26&gt;=12,"Crítico",IF(M26&gt;=6,"Alto",IF(M26&gt;=3,"Moderado","Bajo")))</x:f>
        <x:v>Crítico</x:v>
      </x:c>
      <x:c r="O26" s="35" t="inlineStr">
        <x:is>
          <x:t xml:space="preserve">Jefe de seguridad</x:t>
        </x:is>
      </x:c>
      <x:c r="P26" s="35" t="inlineStr">
        <x:is>
          <x:t xml:space="preserve">Modificar — PT-16</x:t>
        </x:is>
      </x:c>
      <x:c r="Q26" s="37" t="inlineStr">
        <x:is>
          <x:t xml:space="preserve">v1.1 — NUEVO</x:t>
        </x:is>
      </x:c>
      <x:c r="R26" s="43" t="str">
        <x:v>Retraso del conductor, espera en punto fijo y aproximación a personas. La geolocalización prevista es una medida digital complementaria, no un fallo digital descrito en la cadena.</x:v>
      </x:c>
    </x:row>
  </x:sheetData>
  <x:conditionalFormatting sqref="M2:M26">
    <x:cfRule type="cellIs" dxfId="0" priority="2" aboveAverage="0" percent="0" bottom="0" operator="between" rank="0" equalAverage="0">
      <x:formula>12</x:formula>
      <x:formula>16</x:formula>
    </x:cfRule>
    <x:cfRule type="cellIs" dxfId="1" priority="3" aboveAverage="0" percent="0" bottom="0" operator="between" rank="0" equalAverage="0">
      <x:formula>6</x:formula>
      <x:formula>9</x:formula>
    </x:cfRule>
    <x:cfRule type="cellIs" dxfId="2" priority="4" aboveAverage="0" percent="0" bottom="0" operator="between" rank="0" equalAverage="0">
      <x:formula>3</x:formula>
      <x:formula>4</x:formula>
    </x:cfRule>
    <x:cfRule type="cellIs" dxfId="3" priority="5" aboveAverage="0" percent="0" bottom="0" operator="between" rank="0" equalAverage="0">
      <x:formula>1</x:formula>
      <x:formula>2</x:formula>
    </x:cfRule>
  </x:conditionalFormatting>
  <x:dataValidations count="1">
    <x:dataValidation type="list" sqref="E2:E26">
      <x:formula1>"Fisico,Digital,Ambos,Pendiente"</x:formula1>
    </x:dataValidation>
  </x:dataValidations>
  <x:pageMargins left="0.4" right="0.4" top="0.55" bottom="0.55" header="0.2" footer="0.2"/>
  <x:pageSetup paperSize="8" orientation="landscape" scale="85" fitToWidth="1" fitToHeight="0"/>
  <x:headerFooter>
    <x:oddFooter>&amp;LSGSIREG001002 v2.0 · Restringida&amp;CRegistro de riesgos&amp;RPágina &amp;P de &amp;N</x:oddFooter>
    <x:oddHeader>&amp;LAtalaya · Revisión documental pendiente de aprobación&amp;R20/09/2026</x:oddHeader>
  </x:headerFooter>
</x:worksheet>
</file>

<file path=xl/worksheets/sheet4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baseColWidth="8" defaultColWidth="8.6796875" defaultRowHeight="15"/>
  <x:cols>
    <x:col min="1" max="2" width="11" style="14" customWidth="1"/>
    <x:col min="3" max="3" width="62" style="14" customWidth="1"/>
    <x:col min="4" max="4" width="26" style="14" customWidth="1"/>
    <x:col min="5" max="5" width="14" style="14" customWidth="1"/>
    <x:col min="6" max="6" width="15" style="14" customWidth="1"/>
    <x:col min="7" max="7" width="14" style="14" customWidth="1"/>
    <x:col min="8" max="8" width="22" style="14" customWidth="1"/>
    <x:col min="9" max="9" width="16" style="14" customWidth="1"/>
    <x:col min="10" max="10" width="18" style="14" customWidth="1"/>
    <x:col min="11" max="11" width="24" style="14" customWidth="1"/>
    <x:col min="13" max="13" width="20" hidden="0" customWidth="1"/>
    <x:col min="14" max="14" width="64" hidden="0" customWidth="1"/>
  </x:cols>
  <x:sheetData>
    <x:row r="1" s="15" customFormat="1" ht="15" hidden="0" customHeight="1">
      <x:c r="A1" s="34" t="inlineStr">
        <x:is>
          <x:t xml:space="preserve">id_control</x:t>
        </x:is>
      </x:c>
      <x:c r="B1" s="34" t="inlineStr">
        <x:is>
          <x:t xml:space="preserve">id_riesgo</x:t>
        </x:is>
      </x:c>
      <x:c r="C1" s="34" t="inlineStr">
        <x:is>
          <x:t xml:space="preserve">Descripción del control</x:t>
        </x:is>
      </x:c>
      <x:c r="D1" s="34" t="inlineStr">
        <x:is>
          <x:t xml:space="preserve">Eslabón que rompe</x:t>
        </x:is>
      </x:c>
      <x:c r="E1" s="34" t="inlineStr">
        <x:is>
          <x:t xml:space="preserve">dominio</x:t>
        </x:is>
      </x:c>
      <x:c r="F1" s="34" t="inlineStr">
        <x:is>
          <x:t xml:space="preserve">estado</x:t>
        </x:is>
      </x:c>
      <x:c r="G1" s="34" t="inlineStr">
        <x:is>
          <x:t xml:space="preserve">evidencia</x:t>
        </x:is>
      </x:c>
      <x:c r="H1" s="34" t="inlineStr">
        <x:is>
          <x:t xml:space="preserve">propietario_control</x:t>
        </x:is>
      </x:c>
      <x:c r="I1" s="34" t="inlineStr">
        <x:is>
          <x:t xml:space="preserve">ref_27002</x:t>
        </x:is>
      </x:c>
      <x:c r="J1" s="34" t="inlineStr">
        <x:is>
          <x:t xml:space="preserve">periodicidad_dias</x:t>
        </x:is>
      </x:c>
      <x:c r="K1" s="34" t="inlineStr">
        <x:is>
          <x:t xml:space="preserve">fecha_ultima_verificacion</x:t>
        </x:is>
      </x:c>
      <x:c r="L1" s="34" t="inlineStr">
        <x:is>
          <x:t xml:space="preserve">Plan</x:t>
        </x:is>
      </x:c>
      <x:c r="M1" s="42" t="str">
        <x:v>alcance_cobertura</x:v>
      </x:c>
      <x:c r="N1" s="42" t="str">
        <x:v>condicion</x:v>
      </x:c>
    </x:row>
    <x:row r="2" s="15" customFormat="1" ht="24" hidden="0" customHeight="1">
      <x:c r="A2" s="36" t="inlineStr">
        <x:is>
          <x:t xml:space="preserve">C-001</x:t>
        </x:is>
      </x:c>
      <x:c r="B2" s="36" t="inlineStr">
        <x:is>
          <x:t xml:space="preserve">RSC-001</x:t>
        </x:is>
      </x:c>
      <x:c r="C2" s="35" t="inlineStr">
        <x:is>
          <x:t xml:space="preserve">Acuerdo familiar de exposición pública firmado, con reglas concretas sobre qué no se publica</x:t>
        </x:is>
      </x:c>
      <x:c r="D2" s="35" t="inlineStr">
        <x:is>
          <x:t xml:space="preserve">Eslabón 3 — aproximación al hijo mayor</x:t>
        </x:is>
      </x:c>
      <x:c r="E2" s="36" t="inlineStr">
        <x:is>
          <x:t xml:space="preserve">ORGANIZATIVO</x:t>
        </x:is>
      </x:c>
      <x:c r="F2" s="36" t="inlineStr">
        <x:is>
          <x:t xml:space="preserve">PLANIFICADO</x:t>
        </x:is>
      </x:c>
      <x:c r="G2" s="36" t="n"/>
      <x:c r="H2" s="35" t="inlineStr">
        <x:is>
          <x:t xml:space="preserve">Repr. de la propiedad</x:t>
        </x:is>
      </x:c>
      <x:c r="I2" s="35" t="inlineStr">
        <x:is>
          <x:t xml:space="preserve">6.3, 5.10</x:t>
        </x:is>
      </x:c>
      <x:c r="J2" s="35" t="n">
        <x:v>365</x:v>
      </x:c>
      <x:c r="K2" s="35" t="n"/>
      <x:c r="L2" s="36" t="inlineStr">
        <x:is>
          <x:t xml:space="preserve">PT-01</x:t>
        </x:is>
      </x:c>
      <x:c r="M2" s="44" t="str">
        <x:v>GENERAL</x:v>
      </x:c>
      <x:c r="N2" s="44" t="str"/>
    </x:row>
    <x:row r="3" s="15" customFormat="1" ht="24" hidden="0" customHeight="1">
      <x:c r="A3" s="36" t="inlineStr">
        <x:is>
          <x:t xml:space="preserve">C-002</x:t>
        </x:is>
      </x:c>
      <x:c r="B3" s="36" t="inlineStr">
        <x:is>
          <x:t xml:space="preserve">RSC-001</x:t>
        </x:is>
      </x:c>
      <x:c r="C3" s="35" t="inlineStr">
        <x:is>
          <x:t xml:space="preserve">Canal de comunicación de contactos sospechosos accesible a los hijos, sin sanción asociada</x:t>
        </x:is>
      </x:c>
      <x:c r="D3" s="35" t="inlineStr">
        <x:is>
          <x:t xml:space="preserve">Eslabón 3 — aproximación al hijo mayor</x:t>
        </x:is>
      </x:c>
      <x:c r="E3" s="36" t="inlineStr">
        <x:is>
          <x:t xml:space="preserve">ORGANIZATIVO</x:t>
        </x:is>
      </x:c>
      <x:c r="F3" s="36" t="inlineStr">
        <x:is>
          <x:t xml:space="preserve">PLANIFICADO</x:t>
        </x:is>
      </x:c>
      <x:c r="G3" s="36" t="n"/>
      <x:c r="H3" s="35" t="inlineStr">
        <x:is>
          <x:t xml:space="preserve">Repr. de la propiedad</x:t>
        </x:is>
      </x:c>
      <x:c r="I3" s="35" t="inlineStr">
        <x:is>
          <x:t xml:space="preserve">5.24, 6.8</x:t>
        </x:is>
      </x:c>
      <x:c r="J3" s="35" t="n">
        <x:v>365</x:v>
      </x:c>
      <x:c r="K3" s="35" t="n"/>
      <x:c r="L3" s="36" t="inlineStr">
        <x:is>
          <x:t xml:space="preserve">PT-01</x:t>
        </x:is>
      </x:c>
      <x:c r="M3" s="44" t="str">
        <x:v>GENERAL</x:v>
      </x:c>
      <x:c r="N3" s="44" t="str"/>
    </x:row>
    <x:row r="4" s="15" customFormat="1" ht="24" hidden="0" customHeight="1">
      <x:c r="A4" s="36" t="inlineStr">
        <x:is>
          <x:t xml:space="preserve">C-003</x:t>
        </x:is>
      </x:c>
      <x:c r="B4" s="36" t="inlineStr">
        <x:is>
          <x:t xml:space="preserve">RSC-001</x:t>
        </x:is>
      </x:c>
      <x:c r="C4" s="35" t="inlineStr">
        <x:is>
          <x:t xml:space="preserve">Cuaderno de indicios con revisión semanal conjunta de observaciones físicas y digitales</x:t>
        </x:is>
      </x:c>
      <x:c r="D4" s="35" t="inlineStr">
        <x:is>
          <x:t xml:space="preserve">Eslabón 5 — vigilancia de confirmación</x:t>
        </x:is>
      </x:c>
      <x:c r="E4" s="36" t="inlineStr">
        <x:is>
          <x:t xml:space="preserve">ORGANIZATIVO</x:t>
        </x:is>
      </x:c>
      <x:c r="F4" s="36" t="inlineStr">
        <x:is>
          <x:t xml:space="preserve">PARCIAL</x:t>
        </x:is>
      </x:c>
      <x:c r="G4" s="36" t="inlineStr">
        <x:is>
          <x:t xml:space="preserve">EV-2026-001</x:t>
        </x:is>
      </x:c>
      <x:c r="H4" s="35" t="inlineStr">
        <x:is>
          <x:t xml:space="preserve">Jefe de seguridad</x:t>
        </x:is>
      </x:c>
      <x:c r="I4" s="35" t="inlineStr">
        <x:is>
          <x:t xml:space="preserve">5.25</x:t>
        </x:is>
      </x:c>
      <x:c r="J4" s="35" t="n">
        <x:v>180</x:v>
      </x:c>
      <x:c r="K4" s="35" t="n"/>
      <x:c r="L4" s="36" t="inlineStr">
        <x:is>
          <x:t xml:space="preserve">PT-01</x:t>
        </x:is>
      </x:c>
      <x:c r="M4" s="44" t="str">
        <x:v>GENERAL</x:v>
      </x:c>
      <x:c r="N4" s="44" t="str"/>
    </x:row>
    <x:row r="5" s="15" customFormat="1" ht="24" hidden="0" customHeight="1">
      <x:c r="A5" s="36" t="inlineStr">
        <x:is>
          <x:t xml:space="preserve">C-004</x:t>
        </x:is>
      </x:c>
      <x:c r="B5" s="36" t="inlineStr">
        <x:is>
          <x:t xml:space="preserve">RSC-001</x:t>
        </x:is>
      </x:c>
      <x:c r="C5" s="35" t="inlineStr">
        <x:is>
          <x:t xml:space="preserve">Registro nominal de vehículos y personas observadas en el entorno de la finca</x:t>
        </x:is>
      </x:c>
      <x:c r="D5" s="35" t="inlineStr">
        <x:is>
          <x:t xml:space="preserve">Eslabón 5 — vigilancia de confirmación</x:t>
        </x:is>
      </x:c>
      <x:c r="E5" s="36" t="inlineStr">
        <x:is>
          <x:t xml:space="preserve">FISICO</x:t>
        </x:is>
      </x:c>
      <x:c r="F5" s="36" t="inlineStr">
        <x:is>
          <x:t xml:space="preserve">PARCIAL</x:t>
        </x:is>
      </x:c>
      <x:c r="G5" s="36" t="inlineStr">
        <x:is>
          <x:t xml:space="preserve">EV-2026-002</x:t>
        </x:is>
      </x:c>
      <x:c r="H5" s="35" t="inlineStr">
        <x:is>
          <x:t xml:space="preserve">Jefe de seguridad</x:t>
        </x:is>
      </x:c>
      <x:c r="I5" s="35" t="inlineStr">
        <x:is>
          <x:t xml:space="preserve">7.4</x:t>
        </x:is>
      </x:c>
      <x:c r="J5" s="35" t="n">
        <x:v>180</x:v>
      </x:c>
      <x:c r="K5" s="35" t="n"/>
      <x:c r="L5" s="36" t="inlineStr">
        <x:is>
          <x:t xml:space="preserve">PT-01</x:t>
        </x:is>
      </x:c>
      <x:c r="M5" s="44" t="str">
        <x:v>GENERAL</x:v>
      </x:c>
      <x:c r="N5" s="44" t="str"/>
    </x:row>
    <x:row r="6" s="15" customFormat="1" ht="24" hidden="0" customHeight="1">
      <x:c r="A6" s="36" t="inlineStr">
        <x:is>
          <x:t xml:space="preserve">C-005</x:t>
        </x:is>
      </x:c>
      <x:c r="B6" s="36" t="inlineStr">
        <x:is>
          <x:t xml:space="preserve">RSC-001</x:t>
        </x:is>
      </x:c>
      <x:c r="C6" s="35" t="inlineStr">
        <x:is>
          <x:t xml:space="preserve">Configuración de privacidad y revisión periódica de las cuentas públicas de los hijos</x:t>
        </x:is>
      </x:c>
      <x:c r="D6" s="35" t="inlineStr">
        <x:is>
          <x:t xml:space="preserve">Eslabón 3 — aproximación al hijo mayor</x:t>
        </x:is>
      </x:c>
      <x:c r="E6" s="36" t="inlineStr">
        <x:is>
          <x:t xml:space="preserve">DIGITAL</x:t>
        </x:is>
      </x:c>
      <x:c r="F6" s="36" t="inlineStr">
        <x:is>
          <x:t xml:space="preserve">PLANIFICADO</x:t>
        </x:is>
      </x:c>
      <x:c r="G6" s="36" t="n"/>
      <x:c r="H6" s="35" t="inlineStr">
        <x:is>
          <x:t xml:space="preserve">Repr. de la propiedad</x:t>
        </x:is>
      </x:c>
      <x:c r="I6" s="35" t="inlineStr">
        <x:is>
          <x:t xml:space="preserve">5.10</x:t>
        </x:is>
      </x:c>
      <x:c r="J6" s="35" t="n">
        <x:v>90</x:v>
      </x:c>
      <x:c r="K6" s="35" t="n"/>
      <x:c r="L6" s="36" t="inlineStr">
        <x:is>
          <x:t xml:space="preserve">PT-01</x:t>
        </x:is>
      </x:c>
      <x:c r="M6" s="44" t="str">
        <x:v>GENERAL</x:v>
      </x:c>
      <x:c r="N6" s="44" t="str"/>
    </x:row>
    <x:row r="7" s="15" customFormat="1" ht="24" hidden="0" customHeight="1">
      <x:c r="A7" s="36" t="inlineStr">
        <x:is>
          <x:t xml:space="preserve">C-006</x:t>
        </x:is>
      </x:c>
      <x:c r="B7" s="36" t="inlineStr">
        <x:is>
          <x:t xml:space="preserve">RSC-002</x:t>
        </x:is>
      </x:c>
      <x:c r="C7" s="35" t="inlineStr">
        <x:is>
          <x:t xml:space="preserve">Publicación diferida acordada: ningún contenido que revele ubicación se publica hasta haber abandonado esa ubicación (DOC-008 §3)</x:t>
        </x:is>
      </x:c>
      <x:c r="D7" s="35" t="inlineStr">
        <x:is>
          <x:t xml:space="preserve">Eslabón 1 — señal en tiempo real</x:t>
        </x:is>
      </x:c>
      <x:c r="E7" s="36" t="inlineStr">
        <x:is>
          <x:t xml:space="preserve">ORGANIZATIVO</x:t>
        </x:is>
      </x:c>
      <x:c r="F7" s="36" t="inlineStr">
        <x:is>
          <x:t xml:space="preserve">PLANIFICADO</x:t>
        </x:is>
      </x:c>
      <x:c r="G7" s="36" t="n"/>
      <x:c r="H7" s="35" t="inlineStr">
        <x:is>
          <x:t xml:space="preserve">Repr. de la propiedad</x:t>
        </x:is>
      </x:c>
      <x:c r="I7" s="35" t="inlineStr">
        <x:is>
          <x:t xml:space="preserve">5.10</x:t>
        </x:is>
      </x:c>
      <x:c r="J7" s="35" t="n">
        <x:v>365</x:v>
      </x:c>
      <x:c r="K7" s="35" t="n"/>
      <x:c r="L7" s="36" t="inlineStr">
        <x:is>
          <x:t xml:space="preserve">PT-02</x:t>
        </x:is>
      </x:c>
      <x:c r="M7" s="44" t="str">
        <x:v>GENERAL</x:v>
      </x:c>
      <x:c r="N7" s="44" t="str"/>
    </x:row>
    <x:row r="8" s="15" customFormat="1" ht="24" hidden="0" customHeight="1">
      <x:c r="A8" s="36" t="inlineStr">
        <x:is>
          <x:t xml:space="preserve">C-007</x:t>
        </x:is>
      </x:c>
      <x:c r="B8" s="36" t="inlineStr">
        <x:is>
          <x:t xml:space="preserve">RSC-002</x:t>
        </x:is>
      </x:c>
      <x:c r="C8" s="35" t="inlineStr">
        <x:is>
          <x:t xml:space="preserve">Línea base OSINT y revisión trimestral de la exposición pública de la familia</x:t>
        </x:is>
      </x:c>
      <x:c r="D8" s="35" t="inlineStr">
        <x:is>
          <x:t xml:space="preserve">Eslabón 2 — reconstrucción de patrones</x:t>
        </x:is>
      </x:c>
      <x:c r="E8" s="36" t="inlineStr">
        <x:is>
          <x:t xml:space="preserve">DIGITAL</x:t>
        </x:is>
      </x:c>
      <x:c r="F8" s="36" t="inlineStr">
        <x:is>
          <x:t xml:space="preserve">PLANIFICADO</x:t>
        </x:is>
      </x:c>
      <x:c r="G8" s="36" t="n"/>
      <x:c r="H8" s="35" t="inlineStr">
        <x:is>
          <x:t xml:space="preserve">Jefe de seguridad</x:t>
        </x:is>
      </x:c>
      <x:c r="I8" s="35" t="inlineStr">
        <x:is>
          <x:t xml:space="preserve">5.7</x:t>
        </x:is>
      </x:c>
      <x:c r="J8" s="35" t="n">
        <x:v>90</x:v>
      </x:c>
      <x:c r="K8" s="35" t="n"/>
      <x:c r="L8" s="36" t="inlineStr">
        <x:is>
          <x:t xml:space="preserve">PT-02</x:t>
        </x:is>
      </x:c>
      <x:c r="M8" s="44" t="str">
        <x:v>GENERAL</x:v>
      </x:c>
      <x:c r="N8" s="44" t="str"/>
    </x:row>
    <x:row r="9" s="15" customFormat="1" ht="24" hidden="0" customHeight="1">
      <x:c r="A9" s="36" t="inlineStr">
        <x:is>
          <x:t xml:space="preserve">C-008</x:t>
        </x:is>
      </x:c>
      <x:c r="B9" s="36" t="inlineStr">
        <x:is>
          <x:t xml:space="preserve">RSC-002</x:t>
        </x:is>
      </x:c>
      <x:c r="C9" s="35" t="inlineStr">
        <x:is>
          <x:t xml:space="preserve">Regla de discreción en accesos y salidas de la finca para personal e invitados</x:t>
        </x:is>
      </x:c>
      <x:c r="D9" s="35" t="inlineStr">
        <x:is>
          <x:t xml:space="preserve">Eslabón 3 — confirmación de ausencias</x:t>
        </x:is>
      </x:c>
      <x:c r="E9" s="36" t="inlineStr">
        <x:is>
          <x:t xml:space="preserve">FISICO</x:t>
        </x:is>
      </x:c>
      <x:c r="F9" s="36" t="inlineStr">
        <x:is>
          <x:t xml:space="preserve">PLANIFICADO</x:t>
        </x:is>
      </x:c>
      <x:c r="G9" s="36" t="n"/>
      <x:c r="H9" s="35" t="inlineStr">
        <x:is>
          <x:t xml:space="preserve">Jefe de seguridad</x:t>
        </x:is>
      </x:c>
      <x:c r="I9" s="35" t="inlineStr">
        <x:is>
          <x:t xml:space="preserve">7.2</x:t>
        </x:is>
      </x:c>
      <x:c r="J9" s="35" t="n">
        <x:v>180</x:v>
      </x:c>
      <x:c r="K9" s="35" t="n"/>
      <x:c r="L9" s="36" t="inlineStr">
        <x:is>
          <x:t xml:space="preserve">PT-02</x:t>
        </x:is>
      </x:c>
      <x:c r="M9" s="44" t="str">
        <x:v>GENERAL</x:v>
      </x:c>
      <x:c r="N9" s="44" t="str"/>
    </x:row>
    <x:row r="10" s="15" customFormat="1" ht="15" hidden="0" customHeight="1">
      <x:c r="A10" s="36" t="inlineStr">
        <x:is>
          <x:t xml:space="preserve">C-009</x:t>
        </x:is>
      </x:c>
      <x:c r="B10" s="36" t="inlineStr">
        <x:is>
          <x:t xml:space="preserve">RSC-003</x:t>
        </x:is>
      </x:c>
      <x:c r="C10" s="35" t="inlineStr">
        <x:is>
          <x:t xml:space="preserve">Configuración segura y revisión periódica de dispositivos familiares, con consentimiento</x:t>
        </x:is>
      </x:c>
      <x:c r="D10" s="35" t="inlineStr">
        <x:is>
          <x:t xml:space="preserve">Eslabón 2 — instalación de software</x:t>
        </x:is>
      </x:c>
      <x:c r="E10" s="36" t="inlineStr">
        <x:is>
          <x:t xml:space="preserve">DIGITAL</x:t>
        </x:is>
      </x:c>
      <x:c r="F10" s="36" t="inlineStr">
        <x:is>
          <x:t xml:space="preserve">PLANIFICADO</x:t>
        </x:is>
      </x:c>
      <x:c r="G10" s="36" t="n"/>
      <x:c r="H10" s="35" t="inlineStr">
        <x:is>
          <x:t xml:space="preserve">Jefe de seguridad</x:t>
        </x:is>
      </x:c>
      <x:c r="I10" s="35" t="inlineStr">
        <x:is>
          <x:t xml:space="preserve">8.1</x:t>
        </x:is>
      </x:c>
      <x:c r="J10" s="35" t="n">
        <x:v>90</x:v>
      </x:c>
      <x:c r="K10" s="35" t="n"/>
      <x:c r="L10" s="36" t="inlineStr">
        <x:is>
          <x:t xml:space="preserve">PT-03</x:t>
        </x:is>
      </x:c>
      <x:c r="M10" s="44" t="str">
        <x:v>GENERAL</x:v>
      </x:c>
      <x:c r="N10" s="44" t="str"/>
    </x:row>
    <x:row r="11" s="15" customFormat="1" ht="15" hidden="0" customHeight="1">
      <x:c r="A11" s="36" t="inlineStr">
        <x:is>
          <x:t xml:space="preserve">C-010</x:t>
        </x:is>
      </x:c>
      <x:c r="B11" s="36" t="inlineStr">
        <x:is>
          <x:t xml:space="preserve">RSC-003</x:t>
        </x:is>
      </x:c>
      <x:c r="C11" s="35" t="inlineStr">
        <x:is>
          <x:t xml:space="preserve">Pauta de custodia física del dispositivo: no se deja desatendido ni se presta</x:t>
        </x:is>
      </x:c>
      <x:c r="D11" s="35" t="inlineStr">
        <x:is>
          <x:t xml:space="preserve">Eslabón 1 — acceso físico al terminal</x:t>
        </x:is>
      </x:c>
      <x:c r="E11" s="36" t="inlineStr">
        <x:is>
          <x:t xml:space="preserve">FISICO</x:t>
        </x:is>
      </x:c>
      <x:c r="F11" s="36" t="inlineStr">
        <x:is>
          <x:t xml:space="preserve">PLANIFICADO</x:t>
        </x:is>
      </x:c>
      <x:c r="G11" s="36" t="n"/>
      <x:c r="H11" s="35" t="inlineStr">
        <x:is>
          <x:t xml:space="preserve">Repr. de la propiedad</x:t>
        </x:is>
      </x:c>
      <x:c r="I11" s="35" t="inlineStr">
        <x:is>
          <x:t xml:space="preserve">7.9</x:t>
        </x:is>
      </x:c>
      <x:c r="J11" s="35" t="n">
        <x:v>180</x:v>
      </x:c>
      <x:c r="K11" s="35" t="n"/>
      <x:c r="L11" s="36" t="inlineStr">
        <x:is>
          <x:t xml:space="preserve">PT-03</x:t>
        </x:is>
      </x:c>
      <x:c r="M11" s="44" t="str">
        <x:v>GENERAL</x:v>
      </x:c>
      <x:c r="N11" s="44" t="str"/>
    </x:row>
    <x:row r="12" s="15" customFormat="1" ht="24" hidden="0" customHeight="1">
      <x:c r="A12" s="36" t="inlineStr">
        <x:is>
          <x:t xml:space="preserve">C-011</x:t>
        </x:is>
      </x:c>
      <x:c r="B12" s="36" t="inlineStr">
        <x:is>
          <x:t xml:space="preserve">RSC-004</x:t>
        </x:is>
      </x:c>
      <x:c r="C12" s="35" t="inlineStr">
        <x:is>
          <x:t xml:space="preserve">Acuerdos personales de confianza ACU-001/002 con ejemplos concretos de lo que no sale de la casa</x:t>
        </x:is>
      </x:c>
      <x:c r="D12" s="35" t="inlineStr">
        <x:is>
          <x:t xml:space="preserve">Eslabón 1 — comentario informal</x:t>
        </x:is>
      </x:c>
      <x:c r="E12" s="36" t="inlineStr">
        <x:is>
          <x:t xml:space="preserve">ORGANIZATIVO</x:t>
        </x:is>
      </x:c>
      <x:c r="F12" s="36" t="inlineStr">
        <x:is>
          <x:t xml:space="preserve">PARCIAL</x:t>
        </x:is>
      </x:c>
      <x:c r="G12" s="36" t="inlineStr">
        <x:is>
          <x:t xml:space="preserve">EV-2026-003</x:t>
        </x:is>
      </x:c>
      <x:c r="H12" s="35" t="inlineStr">
        <x:is>
          <x:t xml:space="preserve">Dirección General</x:t>
        </x:is>
      </x:c>
      <x:c r="I12" s="35" t="inlineStr">
        <x:is>
          <x:t xml:space="preserve">6.6</x:t>
        </x:is>
      </x:c>
      <x:c r="J12" s="35" t="n">
        <x:v>365</x:v>
      </x:c>
      <x:c r="K12" s="35" t="n"/>
      <x:c r="L12" s="36" t="inlineStr">
        <x:is>
          <x:t xml:space="preserve">PT-04</x:t>
        </x:is>
      </x:c>
      <x:c r="M12" s="44" t="str">
        <x:v>GENERAL</x:v>
      </x:c>
      <x:c r="N12" s="44" t="str"/>
    </x:row>
    <x:row r="13" s="15" customFormat="1" ht="15" hidden="0" customHeight="1">
      <x:c r="A13" s="36" t="inlineStr">
        <x:is>
          <x:t xml:space="preserve">C-012</x:t>
        </x:is>
      </x:c>
      <x:c r="B13" s="36" t="inlineStr">
        <x:is>
          <x:t xml:space="preserve">RSC-004</x:t>
        </x:is>
      </x:c>
      <x:c r="C13" s="35" t="inlineStr">
        <x:is>
          <x:t xml:space="preserve">Canal único y trazable para asuntos de la familia con el círculo histórico</x:t>
        </x:is>
      </x:c>
      <x:c r="D13" s="35" t="inlineStr">
        <x:is>
          <x:t xml:space="preserve">Eslabón 2 — difusión incontrolada</x:t>
        </x:is>
      </x:c>
      <x:c r="E13" s="36" t="inlineStr">
        <x:is>
          <x:t xml:space="preserve">DIGITAL</x:t>
        </x:is>
      </x:c>
      <x:c r="F13" s="36" t="inlineStr">
        <x:is>
          <x:t xml:space="preserve">PLANIFICADO</x:t>
        </x:is>
      </x:c>
      <x:c r="G13" s="36" t="n"/>
      <x:c r="H13" s="35" t="inlineStr">
        <x:is>
          <x:t xml:space="preserve">Dirección General</x:t>
        </x:is>
      </x:c>
      <x:c r="I13" s="35" t="inlineStr">
        <x:is>
          <x:t xml:space="preserve">5.14</x:t>
        </x:is>
      </x:c>
      <x:c r="J13" s="35" t="n">
        <x:v>365</x:v>
      </x:c>
      <x:c r="K13" s="35" t="n"/>
      <x:c r="L13" s="36" t="inlineStr">
        <x:is>
          <x:t xml:space="preserve">PT-04</x:t>
        </x:is>
      </x:c>
      <x:c r="M13" s="44" t="str">
        <x:v>GENERAL</x:v>
      </x:c>
      <x:c r="N13" s="44" t="str"/>
    </x:row>
    <x:row r="14" s="15" customFormat="1" ht="24" hidden="0" customHeight="1">
      <x:c r="A14" s="36" t="inlineStr">
        <x:is>
          <x:t xml:space="preserve">C-013</x:t>
        </x:is>
      </x:c>
      <x:c r="B14" s="36" t="inlineStr">
        <x:is>
          <x:t xml:space="preserve">RSC-005</x:t>
        </x:is>
      </x:c>
      <x:c r="C14" s="35" t="inlineStr">
        <x:is>
          <x:t xml:space="preserve">Revisión y acotación de los poderes notariales de 2015 con asesoría legal</x:t>
        </x:is>
      </x:c>
      <x:c r="D14" s="35" t="str">
        <x:v>Eslabón 3 — instrucciones falsas amparadas en poderes sin revisar</x:v>
      </x:c>
      <x:c r="E14" s="36" t="inlineStr">
        <x:is>
          <x:t xml:space="preserve">ORGANIZATIVO</x:t>
        </x:is>
      </x:c>
      <x:c r="F14" s="36" t="inlineStr">
        <x:is>
          <x:t xml:space="preserve">PARCIAL</x:t>
        </x:is>
      </x:c>
      <x:c r="G14" s="36" t="inlineStr">
        <x:is>
          <x:t xml:space="preserve">EV-2026-004</x:t>
        </x:is>
      </x:c>
      <x:c r="H14" s="35" t="inlineStr">
        <x:is>
          <x:t xml:space="preserve">Resp. financiero</x:t>
        </x:is>
      </x:c>
      <x:c r="I14" s="35" t="inlineStr">
        <x:is>
          <x:t xml:space="preserve">5.18</x:t>
        </x:is>
      </x:c>
      <x:c r="J14" s="35" t="n">
        <x:v>365</x:v>
      </x:c>
      <x:c r="K14" s="35" t="n"/>
      <x:c r="L14" s="36" t="inlineStr">
        <x:is>
          <x:t xml:space="preserve">PT-05</x:t>
        </x:is>
      </x:c>
      <x:c r="M14" s="44" t="str">
        <x:v>GENERAL</x:v>
      </x:c>
      <x:c r="N14" s="44" t="str"/>
    </x:row>
    <x:row r="15" s="15" customFormat="1" ht="24" hidden="0" customHeight="1">
      <x:c r="A15" s="36" t="inlineStr">
        <x:is>
          <x:t xml:space="preserve">C-014</x:t>
        </x:is>
      </x:c>
      <x:c r="B15" s="36" t="inlineStr">
        <x:is>
          <x:t xml:space="preserve">RSC-005</x:t>
        </x:is>
      </x:c>
      <x:c r="C15" s="35" t="inlineStr">
        <x:is>
          <x:t xml:space="preserve">Cuenta corporativa nominal con MFA para todo asunto societario; fin del correo personal</x:t>
        </x:is>
      </x:c>
      <x:c r="D15" s="35" t="inlineStr">
        <x:is>
          <x:t xml:space="preserve">Eslabón 2 — compromiso de la cuenta</x:t>
        </x:is>
      </x:c>
      <x:c r="E15" s="36" t="inlineStr">
        <x:is>
          <x:t xml:space="preserve">DIGITAL</x:t>
        </x:is>
      </x:c>
      <x:c r="F15" s="36" t="inlineStr">
        <x:is>
          <x:t xml:space="preserve">PLANIFICADO</x:t>
        </x:is>
      </x:c>
      <x:c r="G15" s="36" t="n"/>
      <x:c r="H15" s="35" t="inlineStr">
        <x:is>
          <x:t xml:space="preserve">Resp. financiero</x:t>
        </x:is>
      </x:c>
      <x:c r="I15" s="35" t="inlineStr">
        <x:is>
          <x:t xml:space="preserve">5.16, 5.17</x:t>
        </x:is>
      </x:c>
      <x:c r="J15" s="35" t="n">
        <x:v>90</x:v>
      </x:c>
      <x:c r="K15" s="35" t="n"/>
      <x:c r="L15" s="36" t="inlineStr">
        <x:is>
          <x:t xml:space="preserve">PT-05</x:t>
        </x:is>
      </x:c>
      <x:c r="M15" s="44" t="str">
        <x:v>GENERAL</x:v>
      </x:c>
      <x:c r="N15" s="44" t="str"/>
    </x:row>
    <x:row r="16" s="15" customFormat="1" ht="36" hidden="0" customHeight="1">
      <x:c r="A16" s="36" t="inlineStr">
        <x:is>
          <x:t xml:space="preserve">C-015</x:t>
        </x:is>
      </x:c>
      <x:c r="B16" s="36" t="inlineStr">
        <x:is>
          <x:t xml:space="preserve">RSC-006</x:t>
        </x:is>
      </x:c>
      <x:c r="C16" s="35" t="str">
        <x:v>Verificación por segundo canal contra contacto prerregistrado para órdenes ≥10.000 € y cambios de beneficiario sin umbral; circuito reforzado del principal conforme a DOC-007 §4</x:v>
      </x:c>
      <x:c r="D16" s="35" t="inlineStr">
        <x:is>
          <x:t xml:space="preserve">Eslabón 3 — ejecución de la orden</x:t>
        </x:is>
      </x:c>
      <x:c r="E16" s="36" t="inlineStr">
        <x:is>
          <x:t xml:space="preserve">ORGANIZATIVO</x:t>
        </x:is>
      </x:c>
      <x:c r="F16" s="36" t="inlineStr">
        <x:is>
          <x:t xml:space="preserve">PARCIAL</x:t>
        </x:is>
      </x:c>
      <x:c r="G16" s="36" t="inlineStr">
        <x:is>
          <x:t xml:space="preserve">EV-2026-005</x:t>
        </x:is>
      </x:c>
      <x:c r="H16" s="35" t="inlineStr">
        <x:is>
          <x:t xml:space="preserve">Resp. financiero</x:t>
        </x:is>
      </x:c>
      <x:c r="I16" s="35" t="inlineStr">
        <x:is>
          <x:t xml:space="preserve">5.14, 8.5</x:t>
        </x:is>
      </x:c>
      <x:c r="J16" s="35" t="n">
        <x:v>180</x:v>
      </x:c>
      <x:c r="K16" s="35" t="n"/>
      <x:c r="L16" s="36" t="inlineStr">
        <x:is>
          <x:t xml:space="preserve">PT-06</x:t>
        </x:is>
      </x:c>
      <x:c r="M16" s="44" t="str">
        <x:v>GENERAL</x:v>
      </x:c>
      <x:c r="N16" s="44" t="str"/>
    </x:row>
    <x:row r="17" s="15" customFormat="1" ht="72" hidden="0" customHeight="1">
      <x:c r="A17" s="36" t="inlineStr">
        <x:is>
          <x:t xml:space="preserve">C-016</x:t>
        </x:is>
      </x:c>
      <x:c r="B17" s="36" t="inlineStr">
        <x:is>
          <x:t xml:space="preserve">RSC-006</x:t>
        </x:is>
      </x:c>
      <x:c r="C17" s="35" t="inlineStr">
        <x:is>
          <x:t xml:space="preserve">Lista de contactos verificados de asesores y proveedores, bajo custodia y revisión semestral</x:t>
        </x:is>
      </x:c>
      <x:c r="D17" s="35" t="inlineStr">
        <x:is>
          <x:t xml:space="preserve">Eslabón 2 — suplantación de identidad</x:t>
        </x:is>
      </x:c>
      <x:c r="E17" s="36" t="inlineStr">
        <x:is>
          <x:t xml:space="preserve">DIGITAL</x:t>
        </x:is>
      </x:c>
      <x:c r="F17" s="36" t="inlineStr">
        <x:is>
          <x:t xml:space="preserve">PLANIFICADO</x:t>
        </x:is>
      </x:c>
      <x:c r="G17" s="36" t="n"/>
      <x:c r="H17" s="35" t="inlineStr">
        <x:is>
          <x:t xml:space="preserve">Resp. financiero</x:t>
        </x:is>
      </x:c>
      <x:c r="I17" s="35" t="inlineStr">
        <x:is>
          <x:t xml:space="preserve">5.14</x:t>
        </x:is>
      </x:c>
      <x:c r="J17" s="35" t="n">
        <x:v>180</x:v>
      </x:c>
      <x:c r="K17" s="35" t="n"/>
      <x:c r="L17" s="36" t="inlineStr">
        <x:is>
          <x:t xml:space="preserve">PT-06</x:t>
        </x:is>
      </x:c>
      <x:c r="M17" s="44" t="str">
        <x:v>PENDIENTE</x:v>
      </x:c>
      <x:c r="N17" s="44" t="str">
        <x:v>C-016: lista de contactos; falta acreditar mecanismo digital. No basta el soporte o la etiqueta.</x:v>
      </x:c>
    </x:row>
    <x:row r="18" s="15" customFormat="1" ht="24" hidden="0" customHeight="1">
      <x:c r="A18" s="36" t="inlineStr">
        <x:is>
          <x:t xml:space="preserve">C-017</x:t>
        </x:is>
      </x:c>
      <x:c r="B18" s="36" t="inlineStr">
        <x:is>
          <x:t xml:space="preserve">RSC-007</x:t>
        </x:is>
      </x:c>
      <x:c r="C18" s="35" t="inlineStr">
        <x:is>
          <x:t xml:space="preserve">Canal cifrado acordado con el despacho de Dublín para todo intercambio patrimonial</x:t>
        </x:is>
      </x:c>
      <x:c r="D18" s="35" t="inlineStr">
        <x:is>
          <x:t xml:space="preserve">Eslabón 2 — tránsito de la información</x:t>
        </x:is>
      </x:c>
      <x:c r="E18" s="36" t="inlineStr">
        <x:is>
          <x:t xml:space="preserve">DIGITAL</x:t>
        </x:is>
      </x:c>
      <x:c r="F18" s="36" t="inlineStr">
        <x:is>
          <x:t xml:space="preserve">PLANIFICADO</x:t>
        </x:is>
      </x:c>
      <x:c r="G18" s="36" t="n"/>
      <x:c r="H18" s="35" t="inlineStr">
        <x:is>
          <x:t xml:space="preserve">Resp. financiero</x:t>
        </x:is>
      </x:c>
      <x:c r="I18" s="35" t="inlineStr">
        <x:is>
          <x:t xml:space="preserve">5.14, 8.24</x:t>
        </x:is>
      </x:c>
      <x:c r="J18" s="35" t="n">
        <x:v>365</x:v>
      </x:c>
      <x:c r="K18" s="35" t="n"/>
      <x:c r="L18" s="36" t="inlineStr">
        <x:is>
          <x:t xml:space="preserve">PT-06</x:t>
        </x:is>
      </x:c>
      <x:c r="M18" s="44" t="str">
        <x:v>GENERAL</x:v>
      </x:c>
      <x:c r="N18" s="44" t="str"/>
    </x:row>
    <x:row r="19" s="15" customFormat="1" ht="15" hidden="0" customHeight="1">
      <x:c r="A19" s="36" t="inlineStr">
        <x:is>
          <x:t xml:space="preserve">C-018</x:t>
        </x:is>
      </x:c>
      <x:c r="B19" s="36" t="inlineStr">
        <x:is>
          <x:t xml:space="preserve">RSC-010</x:t>
        </x:is>
      </x:c>
      <x:c r="C19" s="35" t="inlineStr">
        <x:is>
          <x:t xml:space="preserve">La voz no autentica: regla escrita y comunicada a banca y asistente</x:t>
        </x:is>
      </x:c>
      <x:c r="D19" s="35" t="inlineStr">
        <x:is>
          <x:t xml:space="preserve">Eslabón 3 — autorización de la orden</x:t>
        </x:is>
      </x:c>
      <x:c r="E19" s="36" t="inlineStr">
        <x:is>
          <x:t xml:space="preserve">ORGANIZATIVO</x:t>
        </x:is>
      </x:c>
      <x:c r="F19" s="36" t="inlineStr">
        <x:is>
          <x:t xml:space="preserve">PLANIFICADO</x:t>
        </x:is>
      </x:c>
      <x:c r="G19" s="36" t="n"/>
      <x:c r="H19" s="35" t="inlineStr">
        <x:is>
          <x:t xml:space="preserve">Resp. financiero</x:t>
        </x:is>
      </x:c>
      <x:c r="I19" s="35" t="inlineStr">
        <x:is>
          <x:t xml:space="preserve">5.17</x:t>
        </x:is>
      </x:c>
      <x:c r="J19" s="35" t="n">
        <x:v>365</x:v>
      </x:c>
      <x:c r="K19" s="35" t="n"/>
      <x:c r="L19" s="36" t="inlineStr">
        <x:is>
          <x:t xml:space="preserve">PT-06</x:t>
        </x:is>
      </x:c>
      <x:c r="M19" s="44" t="str">
        <x:v>GENERAL</x:v>
      </x:c>
      <x:c r="N19" s="44" t="str"/>
    </x:row>
    <x:row r="20" s="15" customFormat="1" ht="72" hidden="0" customHeight="1">
      <x:c r="A20" s="36" t="inlineStr">
        <x:is>
          <x:t xml:space="preserve">C-019</x:t>
        </x:is>
      </x:c>
      <x:c r="B20" s="36" t="inlineStr">
        <x:is>
          <x:t xml:space="preserve">RSC-014</x:t>
        </x:is>
      </x:c>
      <x:c r="C20" s="35" t="inlineStr">
        <x:is>
          <x:t xml:space="preserve">Registro de actos ejecutados por delegación, con revisión mensual por la Dirección General</x:t>
        </x:is>
      </x:c>
      <x:c r="D20" s="35" t="inlineStr">
        <x:is>
          <x:t xml:space="preserve">Eslabón 3 — acto de disposición</x:t>
        </x:is>
      </x:c>
      <x:c r="E20" s="36" t="inlineStr">
        <x:is>
          <x:t xml:space="preserve">DIGITAL</x:t>
        </x:is>
      </x:c>
      <x:c r="F20" s="36" t="inlineStr">
        <x:is>
          <x:t xml:space="preserve">PLANIFICADO</x:t>
        </x:is>
      </x:c>
      <x:c r="G20" s="36" t="n"/>
      <x:c r="H20" s="35" t="inlineStr">
        <x:is>
          <x:t xml:space="preserve">Dirección General</x:t>
        </x:is>
      </x:c>
      <x:c r="I20" s="35" t="inlineStr">
        <x:is>
          <x:t xml:space="preserve">5.18, 8.15</x:t>
        </x:is>
      </x:c>
      <x:c r="J20" s="35" t="n">
        <x:v>180</x:v>
      </x:c>
      <x:c r="K20" s="35" t="n"/>
      <x:c r="L20" s="36" t="inlineStr">
        <x:is>
          <x:t xml:space="preserve">PT-06</x:t>
        </x:is>
      </x:c>
      <x:c r="M20" s="44" t="str">
        <x:v>PENDIENTE</x:v>
      </x:c>
      <x:c r="N20" s="44" t="str">
        <x:v>C-019: registro de actos; falta acreditar mecanismo digital de trazabilidad. No se presume por el nombre.</x:v>
      </x:c>
    </x:row>
    <x:row r="21" s="15" customFormat="1" ht="15" hidden="0" customHeight="1">
      <x:c r="A21" s="36" t="inlineStr">
        <x:is>
          <x:t xml:space="preserve">C-020</x:t>
        </x:is>
      </x:c>
      <x:c r="B21" s="36" t="inlineStr">
        <x:is>
          <x:t xml:space="preserve">RSC-016</x:t>
        </x:is>
      </x:c>
      <x:c r="C21" s="35" t="inlineStr">
        <x:is>
          <x:t xml:space="preserve">Plantillas y doble comprobación de destinatario para envíos con información Confidencial</x:t>
        </x:is>
      </x:c>
      <x:c r="D21" s="35" t="inlineStr">
        <x:is>
          <x:t xml:space="preserve">Eslabón 2 — error humano</x:t>
        </x:is>
      </x:c>
      <x:c r="E21" s="36" t="inlineStr">
        <x:is>
          <x:t xml:space="preserve">ORGANIZATIVO</x:t>
        </x:is>
      </x:c>
      <x:c r="F21" s="36" t="inlineStr">
        <x:is>
          <x:t xml:space="preserve">PLANIFICADO</x:t>
        </x:is>
      </x:c>
      <x:c r="G21" s="36" t="n"/>
      <x:c r="H21" s="35" t="inlineStr">
        <x:is>
          <x:t xml:space="preserve">Dirección General</x:t>
        </x:is>
      </x:c>
      <x:c r="I21" s="35" t="inlineStr">
        <x:is>
          <x:t xml:space="preserve">5.14</x:t>
        </x:is>
      </x:c>
      <x:c r="J21" s="35" t="n">
        <x:v>180</x:v>
      </x:c>
      <x:c r="K21" s="35" t="n"/>
      <x:c r="L21" s="36" t="inlineStr">
        <x:is>
          <x:t xml:space="preserve">PT-06</x:t>
        </x:is>
      </x:c>
      <x:c r="M21" s="44" t="str">
        <x:v>GENERAL</x:v>
      </x:c>
      <x:c r="N21" s="44" t="str"/>
    </x:row>
    <x:row r="22" s="15" customFormat="1" ht="24" hidden="0" customHeight="1">
      <x:c r="A22" s="36" t="inlineStr">
        <x:is>
          <x:t xml:space="preserve">C-021</x:t>
        </x:is>
      </x:c>
      <x:c r="B22" s="36" t="inlineStr">
        <x:is>
          <x:t xml:space="preserve">RSC-008</x:t>
        </x:is>
      </x:c>
      <x:c r="C22" s="35" t="inlineStr">
        <x:is>
          <x:t xml:space="preserve">Anexo contractual con el MSP: MFA obligatorio, cuentas nominales, registro de sesiones 12 meses</x:t>
        </x:is>
      </x:c>
      <x:c r="D22" s="35" t="inlineStr">
        <x:is>
          <x:t xml:space="preserve">Eslabón 1 — acceso privilegiado</x:t>
        </x:is>
      </x:c>
      <x:c r="E22" s="36" t="inlineStr">
        <x:is>
          <x:t xml:space="preserve">DIGITAL</x:t>
        </x:is>
      </x:c>
      <x:c r="F22" s="36" t="inlineStr">
        <x:is>
          <x:t xml:space="preserve">PLANIFICADO</x:t>
        </x:is>
      </x:c>
      <x:c r="G22" s="36" t="n"/>
      <x:c r="H22" s="35" t="inlineStr">
        <x:is>
          <x:t xml:space="preserve">Jefe de seguridad</x:t>
        </x:is>
      </x:c>
      <x:c r="I22" s="35" t="inlineStr">
        <x:is>
          <x:t xml:space="preserve">5.20, 5.22, 8.2, 8.18</x:t>
        </x:is>
      </x:c>
      <x:c r="J22" s="35" t="n">
        <x:v>365</x:v>
      </x:c>
      <x:c r="K22" s="35" t="n"/>
      <x:c r="L22" s="36" t="inlineStr">
        <x:is>
          <x:t xml:space="preserve">PT-07</x:t>
        </x:is>
      </x:c>
      <x:c r="M22" s="44" t="str">
        <x:v>GENERAL</x:v>
      </x:c>
      <x:c r="N22" s="44" t="str"/>
    </x:row>
    <x:row r="23" s="15" customFormat="1" ht="24" hidden="0" customHeight="1">
      <x:c r="A23" s="36" t="inlineStr">
        <x:is>
          <x:t xml:space="preserve">C-022</x:t>
        </x:is>
      </x:c>
      <x:c r="B23" s="36" t="inlineStr">
        <x:is>
          <x:t xml:space="preserve">RSC-008</x:t>
        </x:is>
      </x:c>
      <x:c r="C23" s="35" t="inlineStr">
        <x:is>
          <x:t xml:space="preserve">Custodia física del armario de comunicaciones y registro de accesos al mismo</x:t>
        </x:is>
      </x:c>
      <x:c r="D23" s="35" t="inlineStr">
        <x:is>
          <x:t xml:space="preserve">Eslabón 2 — acceso a la infraestructura</x:t>
        </x:is>
      </x:c>
      <x:c r="E23" s="36" t="inlineStr">
        <x:is>
          <x:t xml:space="preserve">FISICO</x:t>
        </x:is>
      </x:c>
      <x:c r="F23" s="36" t="inlineStr">
        <x:is>
          <x:t xml:space="preserve">PLANIFICADO</x:t>
        </x:is>
      </x:c>
      <x:c r="G23" s="36" t="n"/>
      <x:c r="H23" s="35" t="inlineStr">
        <x:is>
          <x:t xml:space="preserve">Jefe de seguridad</x:t>
        </x:is>
      </x:c>
      <x:c r="I23" s="35" t="inlineStr">
        <x:is>
          <x:t xml:space="preserve">7.4, 7.8, 7.12</x:t>
        </x:is>
      </x:c>
      <x:c r="J23" s="35" t="n">
        <x:v>180</x:v>
      </x:c>
      <x:c r="K23" s="35" t="n"/>
      <x:c r="L23" s="36" t="inlineStr">
        <x:is>
          <x:t xml:space="preserve">PT-07</x:t>
        </x:is>
      </x:c>
      <x:c r="M23" s="44" t="str">
        <x:v>GENERAL</x:v>
      </x:c>
      <x:c r="N23" s="44" t="str"/>
    </x:row>
    <x:row r="24" s="15" customFormat="1" ht="15" hidden="0" customHeight="1">
      <x:c r="A24" s="36" t="inlineStr">
        <x:is>
          <x:t xml:space="preserve">C-023</x:t>
        </x:is>
      </x:c>
      <x:c r="B24" s="36" t="inlineStr">
        <x:is>
          <x:t xml:space="preserve">RSC-009</x:t>
        </x:is>
      </x:c>
      <x:c r="C24" s="35" t="inlineStr">
        <x:is>
          <x:t xml:space="preserve">Segmentación de red: CCTV y domótica fuera de la red de datos, sin exposición a internet</x:t>
        </x:is>
      </x:c>
      <x:c r="D24" s="35" t="inlineStr">
        <x:is>
          <x:t xml:space="preserve">Eslabón 1 — exposición del sistema</x:t>
        </x:is>
      </x:c>
      <x:c r="E24" s="36" t="inlineStr">
        <x:is>
          <x:t xml:space="preserve">DIGITAL</x:t>
        </x:is>
      </x:c>
      <x:c r="F24" s="36" t="inlineStr">
        <x:is>
          <x:t xml:space="preserve">PLANIFICADO</x:t>
        </x:is>
      </x:c>
      <x:c r="G24" s="36" t="n"/>
      <x:c r="H24" s="35" t="inlineStr">
        <x:is>
          <x:t xml:space="preserve">Jefe de seguridad</x:t>
        </x:is>
      </x:c>
      <x:c r="I24" s="35" t="inlineStr">
        <x:is>
          <x:t xml:space="preserve">8.20, 8.22</x:t>
        </x:is>
      </x:c>
      <x:c r="J24" s="35" t="n">
        <x:v>90</x:v>
      </x:c>
      <x:c r="K24" s="35" t="n"/>
      <x:c r="L24" s="36" t="inlineStr">
        <x:is>
          <x:t xml:space="preserve">PT-07</x:t>
        </x:is>
      </x:c>
      <x:c r="M24" s="44" t="str">
        <x:v>GENERAL</x:v>
      </x:c>
      <x:c r="N24" s="44" t="str"/>
    </x:row>
    <x:row r="25" s="15" customFormat="1" ht="15" hidden="0" customHeight="1">
      <x:c r="A25" s="36" t="inlineStr">
        <x:is>
          <x:t xml:space="preserve">C-024</x:t>
        </x:is>
      </x:c>
      <x:c r="B25" s="36" t="inlineStr">
        <x:is>
          <x:t xml:space="preserve">RSC-009</x:t>
        </x:is>
      </x:c>
      <x:c r="C25" s="35" t="inlineStr">
        <x:is>
          <x:t xml:space="preserve">Control de acceso al grabador y a la sala técnica; registro de quién consulta grabaciones</x:t>
        </x:is>
      </x:c>
      <x:c r="D25" s="35" t="inlineStr">
        <x:is>
          <x:t xml:space="preserve">Eslabón 3 — acceso a las imágenes</x:t>
        </x:is>
      </x:c>
      <x:c r="E25" s="36" t="inlineStr">
        <x:is>
          <x:t xml:space="preserve">FISICO</x:t>
        </x:is>
      </x:c>
      <x:c r="F25" s="36" t="inlineStr">
        <x:is>
          <x:t xml:space="preserve">PLANIFICADO</x:t>
        </x:is>
      </x:c>
      <x:c r="G25" s="36" t="n"/>
      <x:c r="H25" s="35" t="inlineStr">
        <x:is>
          <x:t xml:space="preserve">Jefe de seguridad</x:t>
        </x:is>
      </x:c>
      <x:c r="I25" s="35" t="inlineStr">
        <x:is>
          <x:t xml:space="preserve">7.4, 8.15</x:t>
        </x:is>
      </x:c>
      <x:c r="J25" s="35" t="n">
        <x:v>90</x:v>
      </x:c>
      <x:c r="K25" s="35" t="n"/>
      <x:c r="L25" s="36" t="inlineStr">
        <x:is>
          <x:t xml:space="preserve">PT-07</x:t>
        </x:is>
      </x:c>
      <x:c r="M25" s="44" t="str">
        <x:v>GENERAL</x:v>
      </x:c>
      <x:c r="N25" s="44" t="str"/>
    </x:row>
    <x:row r="26" s="15" customFormat="1" ht="15" hidden="0" customHeight="1">
      <x:c r="A26" s="36" t="inlineStr">
        <x:is>
          <x:t xml:space="preserve">C-025</x:t>
        </x:is>
      </x:c>
      <x:c r="B26" s="36" t="inlineStr">
        <x:is>
          <x:t xml:space="preserve">RSC-011</x:t>
        </x:is>
      </x:c>
      <x:c r="C26" s="35" t="inlineStr">
        <x:is>
          <x:t xml:space="preserve">Zonificación interior de la residencia y regla de acompañamiento por zonas</x:t>
        </x:is>
      </x:c>
      <x:c r="D26" s="35" t="inlineStr">
        <x:is>
          <x:t xml:space="preserve">Eslabón 1 — acceso no acompañado</x:t>
        </x:is>
      </x:c>
      <x:c r="E26" s="36" t="inlineStr">
        <x:is>
          <x:t xml:space="preserve">FISICO</x:t>
        </x:is>
      </x:c>
      <x:c r="F26" s="36" t="inlineStr">
        <x:is>
          <x:t xml:space="preserve">PLANIFICADO</x:t>
        </x:is>
      </x:c>
      <x:c r="G26" s="36" t="n"/>
      <x:c r="H26" s="35" t="inlineStr">
        <x:is>
          <x:t xml:space="preserve">Jefe de seguridad</x:t>
        </x:is>
      </x:c>
      <x:c r="I26" s="35" t="inlineStr">
        <x:is>
          <x:t xml:space="preserve">7.2, 7.6</x:t>
        </x:is>
      </x:c>
      <x:c r="J26" s="35" t="n">
        <x:v>180</x:v>
      </x:c>
      <x:c r="K26" s="35" t="n"/>
      <x:c r="L26" s="36" t="inlineStr">
        <x:is>
          <x:t xml:space="preserve">PT-08</x:t>
        </x:is>
      </x:c>
      <x:c r="M26" s="44" t="str">
        <x:v>GENERAL</x:v>
      </x:c>
      <x:c r="N26" s="44" t="str"/>
    </x:row>
    <x:row r="27" s="15" customFormat="1" ht="15" hidden="0" customHeight="1">
      <x:c r="A27" s="36" t="inlineStr">
        <x:is>
          <x:t xml:space="preserve">C-026</x:t>
        </x:is>
      </x:c>
      <x:c r="B27" s="36" t="inlineStr">
        <x:is>
          <x:t xml:space="preserve">RSC-011</x:t>
        </x:is>
      </x:c>
      <x:c r="C27" s="35" t="inlineStr">
        <x:is>
          <x:t xml:space="preserve">Red separada para invitados y personal, sin acceso al NAS ni a los sistemas de la oficina</x:t>
        </x:is>
      </x:c>
      <x:c r="D27" s="35" t="str">
        <x:v>Eslabón 2 — acceso al NAS por la red común</x:v>
      </x:c>
      <x:c r="E27" s="36" t="inlineStr">
        <x:is>
          <x:t xml:space="preserve">DIGITAL</x:t>
        </x:is>
      </x:c>
      <x:c r="F27" s="36" t="inlineStr">
        <x:is>
          <x:t xml:space="preserve">PLANIFICADO</x:t>
        </x:is>
      </x:c>
      <x:c r="G27" s="36" t="n"/>
      <x:c r="H27" s="35" t="inlineStr">
        <x:is>
          <x:t xml:space="preserve">Jefe de seguridad</x:t>
        </x:is>
      </x:c>
      <x:c r="I27" s="35" t="inlineStr">
        <x:is>
          <x:t xml:space="preserve">8.22, 8.3</x:t>
        </x:is>
      </x:c>
      <x:c r="J27" s="35" t="n">
        <x:v>90</x:v>
      </x:c>
      <x:c r="K27" s="35" t="n"/>
      <x:c r="L27" s="36" t="inlineStr">
        <x:is>
          <x:t xml:space="preserve">PT-08</x:t>
        </x:is>
      </x:c>
      <x:c r="M27" s="44" t="str">
        <x:v>GENERAL</x:v>
      </x:c>
      <x:c r="N27" s="44" t="str"/>
    </x:row>
    <x:row r="28" s="15" customFormat="1" ht="15" hidden="0" customHeight="1">
      <x:c r="A28" s="36" t="inlineStr">
        <x:is>
          <x:t xml:space="preserve">C-027</x:t>
        </x:is>
      </x:c>
      <x:c r="B28" s="36" t="inlineStr">
        <x:is>
          <x:t xml:space="preserve">RSC-012</x:t>
        </x:is>
      </x:c>
      <x:c r="C28" s="35" t="inlineStr">
        <x:is>
          <x:t xml:space="preserve">Cifrado y borrado remoto verificados antes de cada salida, con registro de la verificación</x:t>
        </x:is>
      </x:c>
      <x:c r="D28" s="35" t="inlineStr">
        <x:is>
          <x:t xml:space="preserve">Eslabón 2 — acceso al contenido</x:t>
        </x:is>
      </x:c>
      <x:c r="E28" s="36" t="inlineStr">
        <x:is>
          <x:t xml:space="preserve">DIGITAL</x:t>
        </x:is>
      </x:c>
      <x:c r="F28" s="36" t="inlineStr">
        <x:is>
          <x:t xml:space="preserve">PLANIFICADO</x:t>
        </x:is>
      </x:c>
      <x:c r="G28" s="36" t="n"/>
      <x:c r="H28" s="35" t="inlineStr">
        <x:is>
          <x:t xml:space="preserve">Jefe de seguridad</x:t>
        </x:is>
      </x:c>
      <x:c r="I28" s="35" t="inlineStr">
        <x:is>
          <x:t xml:space="preserve">8.24, 8.1</x:t>
        </x:is>
      </x:c>
      <x:c r="J28" s="35" t="n">
        <x:v>180</x:v>
      </x:c>
      <x:c r="K28" s="35" t="n"/>
      <x:c r="L28" s="36" t="inlineStr">
        <x:is>
          <x:t xml:space="preserve">PT-09</x:t>
        </x:is>
      </x:c>
      <x:c r="M28" s="44" t="str">
        <x:v>GENERAL</x:v>
      </x:c>
      <x:c r="N28" s="44" t="str"/>
    </x:row>
    <x:row r="29" s="15" customFormat="1" ht="15" hidden="0" customHeight="1">
      <x:c r="A29" s="36" t="inlineStr">
        <x:is>
          <x:t xml:space="preserve">C-028</x:t>
        </x:is>
      </x:c>
      <x:c r="B29" s="36" t="inlineStr">
        <x:is>
          <x:t xml:space="preserve">RSC-012</x:t>
        </x:is>
      </x:c>
      <x:c r="C29" s="35" t="inlineStr">
        <x:is>
          <x:t xml:space="preserve">Dotación de viaje diferenciada: equipo limpio para destinos de riesgo</x:t>
        </x:is>
      </x:c>
      <x:c r="D29" s="35" t="inlineStr">
        <x:is>
          <x:t xml:space="preserve">Eslabón 1 — exposición del soporte</x:t>
        </x:is>
      </x:c>
      <x:c r="E29" s="36" t="inlineStr">
        <x:is>
          <x:t xml:space="preserve">FISICO</x:t>
        </x:is>
      </x:c>
      <x:c r="F29" s="36" t="inlineStr">
        <x:is>
          <x:t xml:space="preserve">PLANIFICADO</x:t>
        </x:is>
      </x:c>
      <x:c r="G29" s="36" t="n"/>
      <x:c r="H29" s="35" t="inlineStr">
        <x:is>
          <x:t xml:space="preserve">Jefe de seguridad</x:t>
        </x:is>
      </x:c>
      <x:c r="I29" s="35" t="inlineStr">
        <x:is>
          <x:t xml:space="preserve">7.9</x:t>
        </x:is>
      </x:c>
      <x:c r="J29" s="35" t="n">
        <x:v>180</x:v>
      </x:c>
      <x:c r="K29" s="35" t="n"/>
      <x:c r="L29" s="36" t="inlineStr">
        <x:is>
          <x:t xml:space="preserve">PT-09</x:t>
        </x:is>
      </x:c>
      <x:c r="M29" s="44" t="str">
        <x:v>GENERAL</x:v>
      </x:c>
      <x:c r="N29" s="44" t="str"/>
    </x:row>
    <x:row r="30" s="15" customFormat="1" ht="24" hidden="0" customHeight="1">
      <x:c r="A30" s="36" t="inlineStr">
        <x:is>
          <x:t xml:space="preserve">C-029</x:t>
        </x:is>
      </x:c>
      <x:c r="B30" s="36" t="inlineStr">
        <x:is>
          <x:t xml:space="preserve">RSC-022</x:t>
        </x:is>
      </x:c>
      <x:c r="C30" s="35" t="inlineStr">
        <x:is>
          <x:t xml:space="preserve">Ficha de seguridad de destino previa a la reserva: alojamiento, entorno, servicios y contactos locales</x:t>
        </x:is>
      </x:c>
      <x:c r="D30" s="35" t="inlineStr">
        <x:is>
          <x:t xml:space="preserve">Eslabón 1 — decisión del viaje</x:t>
        </x:is>
      </x:c>
      <x:c r="E30" s="36" t="inlineStr">
        <x:is>
          <x:t xml:space="preserve">ORGANIZATIVO</x:t>
        </x:is>
      </x:c>
      <x:c r="F30" s="36" t="inlineStr">
        <x:is>
          <x:t xml:space="preserve">PLANIFICADO</x:t>
        </x:is>
      </x:c>
      <x:c r="G30" s="36" t="n"/>
      <x:c r="H30" s="35" t="inlineStr">
        <x:is>
          <x:t xml:space="preserve">Jefe de seguridad</x:t>
        </x:is>
      </x:c>
      <x:c r="I30" s="35" t="inlineStr">
        <x:is>
          <x:t xml:space="preserve">5.7, 6.7</x:t>
        </x:is>
      </x:c>
      <x:c r="J30" s="35" t="n">
        <x:v>180</x:v>
      </x:c>
      <x:c r="K30" s="35" t="n"/>
      <x:c r="L30" s="36" t="inlineStr">
        <x:is>
          <x:t xml:space="preserve">PT-09</x:t>
        </x:is>
      </x:c>
      <x:c r="M30" s="44" t="str">
        <x:v>GENERAL</x:v>
      </x:c>
      <x:c r="N30" s="44" t="str"/>
    </x:row>
    <x:row r="31" s="15" customFormat="1" ht="15" hidden="0" customHeight="1">
      <x:c r="A31" s="36" t="inlineStr">
        <x:is>
          <x:t xml:space="preserve">C-030</x:t>
        </x:is>
      </x:c>
      <x:c r="B31" s="36" t="inlineStr">
        <x:is>
          <x:t xml:space="preserve">RSC-022</x:t>
        </x:is>
      </x:c>
      <x:c r="C31" s="35" t="inlineStr">
        <x:is>
          <x:t xml:space="preserve">Reconocimiento previo o contacto con servicio local en destinos de riesgo alto</x:t>
        </x:is>
      </x:c>
      <x:c r="D31" s="35" t="inlineStr">
        <x:is>
          <x:t xml:space="preserve">Eslabón 3 — llegada al destino</x:t>
        </x:is>
      </x:c>
      <x:c r="E31" s="36" t="inlineStr">
        <x:is>
          <x:t xml:space="preserve">FISICO</x:t>
        </x:is>
      </x:c>
      <x:c r="F31" s="36" t="inlineStr">
        <x:is>
          <x:t xml:space="preserve">PLANIFICADO</x:t>
        </x:is>
      </x:c>
      <x:c r="G31" s="36" t="n"/>
      <x:c r="H31" s="35" t="inlineStr">
        <x:is>
          <x:t xml:space="preserve">Jefe de seguridad</x:t>
        </x:is>
      </x:c>
      <x:c r="I31" s="35" t="inlineStr">
        <x:is>
          <x:t xml:space="preserve">7.1, 7.4</x:t>
        </x:is>
      </x:c>
      <x:c r="J31" s="35" t="n">
        <x:v>180</x:v>
      </x:c>
      <x:c r="K31" s="35" t="n"/>
      <x:c r="L31" s="36" t="inlineStr">
        <x:is>
          <x:t xml:space="preserve">PT-09</x:t>
        </x:is>
      </x:c>
      <x:c r="M31" s="44" t="str">
        <x:v>GENERAL</x:v>
      </x:c>
      <x:c r="N31" s="44" t="str"/>
    </x:row>
    <x:row r="32" s="15" customFormat="1" ht="15" hidden="0" customHeight="1">
      <x:c r="A32" s="36" t="inlineStr">
        <x:is>
          <x:t xml:space="preserve">C-031</x:t>
        </x:is>
      </x:c>
      <x:c r="B32" s="36" t="inlineStr">
        <x:is>
          <x:t xml:space="preserve">RSC-022</x:t>
        </x:is>
      </x:c>
      <x:c r="C32" s="35" t="inlineStr">
        <x:is>
          <x:t xml:space="preserve">Restricción de difusión del itinerario: lista cerrada de destinatarios y sin publicación previa</x:t>
        </x:is>
      </x:c>
      <x:c r="D32" s="35" t="inlineStr">
        <x:is>
          <x:t xml:space="preserve">Eslabón 2 — difusión del itinerario</x:t>
        </x:is>
      </x:c>
      <x:c r="E32" s="36" t="inlineStr">
        <x:is>
          <x:t xml:space="preserve">DIGITAL</x:t>
        </x:is>
      </x:c>
      <x:c r="F32" s="36" t="inlineStr">
        <x:is>
          <x:t xml:space="preserve">PLANIFICADO</x:t>
        </x:is>
      </x:c>
      <x:c r="G32" s="36" t="n"/>
      <x:c r="H32" s="35" t="inlineStr">
        <x:is>
          <x:t xml:space="preserve">Repr. de la propiedad</x:t>
        </x:is>
      </x:c>
      <x:c r="I32" s="35" t="inlineStr">
        <x:is>
          <x:t xml:space="preserve">5.12, 5.14</x:t>
        </x:is>
      </x:c>
      <x:c r="J32" s="35" t="n">
        <x:v>90</x:v>
      </x:c>
      <x:c r="K32" s="35" t="n"/>
      <x:c r="L32" s="36" t="inlineStr">
        <x:is>
          <x:t xml:space="preserve">PT-09</x:t>
        </x:is>
      </x:c>
      <x:c r="M32" s="44" t="str">
        <x:v>GENERAL</x:v>
      </x:c>
      <x:c r="N32" s="44" t="str"/>
    </x:row>
    <x:row r="33" s="15" customFormat="1" ht="24" hidden="0" customHeight="1">
      <x:c r="A33" s="36" t="inlineStr">
        <x:is>
          <x:t xml:space="preserve">C-032</x:t>
        </x:is>
      </x:c>
      <x:c r="B33" s="36" t="inlineStr">
        <x:is>
          <x:t xml:space="preserve">RSC-013</x:t>
        </x:is>
      </x:c>
      <x:c r="C33" s="35" t="inlineStr">
        <x:is>
          <x:t xml:space="preserve">Copias 3-2-1 con una copia fuera de línea y prueba de restauración semestral documentada</x:t>
        </x:is>
      </x:c>
      <x:c r="D33" s="35" t="inlineStr">
        <x:is>
          <x:t xml:space="preserve">Eslabón 3 — pérdida de disponibilidad</x:t>
        </x:is>
      </x:c>
      <x:c r="E33" s="36" t="inlineStr">
        <x:is>
          <x:t xml:space="preserve">DIGITAL</x:t>
        </x:is>
      </x:c>
      <x:c r="F33" s="36" t="inlineStr">
        <x:is>
          <x:t xml:space="preserve">PLANIFICADO</x:t>
        </x:is>
      </x:c>
      <x:c r="G33" s="36" t="n"/>
      <x:c r="H33" s="35" t="inlineStr">
        <x:is>
          <x:t xml:space="preserve">Dirección General</x:t>
        </x:is>
      </x:c>
      <x:c r="I33" s="35" t="inlineStr">
        <x:is>
          <x:t xml:space="preserve">8.13, 5.30</x:t>
        </x:is>
      </x:c>
      <x:c r="J33" s="35" t="n">
        <x:v>180</x:v>
      </x:c>
      <x:c r="K33" s="35" t="n"/>
      <x:c r="L33" s="36" t="inlineStr">
        <x:is>
          <x:t xml:space="preserve">PT-10</x:t>
        </x:is>
      </x:c>
      <x:c r="M33" s="44" t="str">
        <x:v>GENERAL</x:v>
      </x:c>
      <x:c r="N33" s="44" t="str"/>
    </x:row>
    <x:row r="34" s="15" customFormat="1" ht="24" hidden="0" customHeight="1">
      <x:c r="A34" s="36" t="inlineStr">
        <x:is>
          <x:t xml:space="preserve">C-033</x:t>
        </x:is>
      </x:c>
      <x:c r="B34" s="36" t="inlineStr">
        <x:is>
          <x:t xml:space="preserve">RSC-013</x:t>
        </x:is>
      </x:c>
      <x:c r="C34" s="35" t="inlineStr">
        <x:is>
          <x:t xml:space="preserve">Custodia física de la copia fuera de línea en ubicación distinta a la oficina</x:t>
        </x:is>
      </x:c>
      <x:c r="D34" s="35" t="inlineStr">
        <x:is>
          <x:t xml:space="preserve">Eslabón 3 — pérdida de disponibilidad</x:t>
        </x:is>
      </x:c>
      <x:c r="E34" s="36" t="inlineStr">
        <x:is>
          <x:t xml:space="preserve">FISICO</x:t>
        </x:is>
      </x:c>
      <x:c r="F34" s="36" t="inlineStr">
        <x:is>
          <x:t xml:space="preserve">PLANIFICADO</x:t>
        </x:is>
      </x:c>
      <x:c r="G34" s="36" t="n"/>
      <x:c r="H34" s="35" t="inlineStr">
        <x:is>
          <x:t xml:space="preserve">Dirección General</x:t>
        </x:is>
      </x:c>
      <x:c r="I34" s="35" t="inlineStr">
        <x:is>
          <x:t xml:space="preserve">7.10, 8.13, 5.30</x:t>
        </x:is>
      </x:c>
      <x:c r="J34" s="35" t="n">
        <x:v>180</x:v>
      </x:c>
      <x:c r="K34" s="35" t="n"/>
      <x:c r="L34" s="36" t="inlineStr">
        <x:is>
          <x:t xml:space="preserve">PT-10</x:t>
        </x:is>
      </x:c>
      <x:c r="M34" s="44" t="str">
        <x:v>GENERAL</x:v>
      </x:c>
      <x:c r="N34" s="44" t="str"/>
    </x:row>
    <x:row r="35" s="15" customFormat="1" ht="24" hidden="0" customHeight="1">
      <x:c r="A35" s="36" t="inlineStr">
        <x:is>
          <x:t xml:space="preserve">C-034</x:t>
        </x:is>
      </x:c>
      <x:c r="B35" s="36" t="inlineStr">
        <x:is>
          <x:t xml:space="preserve">RSC-018</x:t>
        </x:is>
      </x:c>
      <x:c r="C35" s="35" t="inlineStr">
        <x:is>
          <x:t xml:space="preserve">Lista de verificación de cierre firmada al final de cada jornada: alarma conectada y aberturas comprobadas</x:t>
        </x:is>
      </x:c>
      <x:c r="D35" s="35" t="inlineStr">
        <x:is>
          <x:t xml:space="preserve">Eslabón 1 — ventana de inejecución</x:t>
        </x:is>
      </x:c>
      <x:c r="E35" s="36" t="inlineStr">
        <x:is>
          <x:t xml:space="preserve">ORGANIZATIVO</x:t>
        </x:is>
      </x:c>
      <x:c r="F35" s="36" t="inlineStr">
        <x:is>
          <x:t xml:space="preserve">PLANIFICADO</x:t>
        </x:is>
      </x:c>
      <x:c r="G35" s="36" t="n"/>
      <x:c r="H35" s="35" t="inlineStr">
        <x:is>
          <x:t xml:space="preserve">Jefe de seguridad</x:t>
        </x:is>
      </x:c>
      <x:c r="I35" s="35" t="inlineStr">
        <x:is>
          <x:t xml:space="preserve">5.36, 5.37</x:t>
        </x:is>
      </x:c>
      <x:c r="J35" s="35" t="n">
        <x:v>180</x:v>
      </x:c>
      <x:c r="K35" s="35" t="n"/>
      <x:c r="L35" s="36" t="inlineStr">
        <x:is>
          <x:t xml:space="preserve">PT-11</x:t>
        </x:is>
      </x:c>
      <x:c r="M35" s="44" t="str">
        <x:v>GENERAL</x:v>
      </x:c>
      <x:c r="N35" s="44" t="str"/>
    </x:row>
    <x:row r="36" s="15" customFormat="1" ht="24" hidden="0" customHeight="1">
      <x:c r="A36" s="36" t="inlineStr">
        <x:is>
          <x:t xml:space="preserve">C-035</x:t>
        </x:is>
      </x:c>
      <x:c r="B36" s="36" t="inlineStr">
        <x:is>
          <x:t xml:space="preserve">RSC-018</x:t>
        </x:is>
      </x:c>
      <x:c r="C36" s="35" t="inlineStr">
        <x:is>
          <x:t xml:space="preserve">Contactos de apertura en aberturas secundarias, integrados en la señal de armado del sistema</x:t>
        </x:is>
      </x:c>
      <x:c r="D36" s="35" t="inlineStr">
        <x:is>
          <x:t xml:space="preserve">Eslabón 1 — ventana de inejecución</x:t>
        </x:is>
      </x:c>
      <x:c r="E36" s="36" t="inlineStr">
        <x:is>
          <x:t xml:space="preserve">FISICO</x:t>
        </x:is>
      </x:c>
      <x:c r="F36" s="36" t="inlineStr">
        <x:is>
          <x:t xml:space="preserve">PLANIFICADO</x:t>
        </x:is>
      </x:c>
      <x:c r="G36" s="36" t="n"/>
      <x:c r="H36" s="35" t="inlineStr">
        <x:is>
          <x:t xml:space="preserve">Jefe de seguridad</x:t>
        </x:is>
      </x:c>
      <x:c r="I36" s="35" t="inlineStr">
        <x:is>
          <x:t xml:space="preserve">7.1, 7.4</x:t>
        </x:is>
      </x:c>
      <x:c r="J36" s="35" t="n">
        <x:v>90</x:v>
      </x:c>
      <x:c r="K36" s="35" t="n"/>
      <x:c r="L36" s="36" t="inlineStr">
        <x:is>
          <x:t xml:space="preserve">PT-11</x:t>
        </x:is>
      </x:c>
      <x:c r="M36" s="44" t="str">
        <x:v>GENERAL</x:v>
      </x:c>
      <x:c r="N36" s="44" t="str"/>
    </x:row>
    <x:row r="37" s="15" customFormat="1" ht="24" hidden="0" customHeight="1">
      <x:c r="A37" s="36" t="inlineStr">
        <x:is>
          <x:t xml:space="preserve">C-036</x:t>
        </x:is>
      </x:c>
      <x:c r="B37" s="36" t="inlineStr">
        <x:is>
          <x:t xml:space="preserve">RSC-018</x:t>
        </x:is>
      </x:c>
      <x:c r="C37" s="35" t="inlineStr">
        <x:is>
          <x:t xml:space="preserve">Supervisión técnica del armado: registro automático de conexión y desconexión, con alerta si no se arma</x:t>
        </x:is>
      </x:c>
      <x:c r="D37" s="35" t="inlineStr">
        <x:is>
          <x:t xml:space="preserve">Eslabón 2 — ausencia de detección</x:t>
        </x:is>
      </x:c>
      <x:c r="E37" s="36" t="inlineStr">
        <x:is>
          <x:t xml:space="preserve">DIGITAL</x:t>
        </x:is>
      </x:c>
      <x:c r="F37" s="36" t="inlineStr">
        <x:is>
          <x:t xml:space="preserve">PLANIFICADO</x:t>
        </x:is>
      </x:c>
      <x:c r="G37" s="36" t="n"/>
      <x:c r="H37" s="35" t="inlineStr">
        <x:is>
          <x:t xml:space="preserve">Jefe de seguridad</x:t>
        </x:is>
      </x:c>
      <x:c r="I37" s="35" t="inlineStr">
        <x:is>
          <x:t xml:space="preserve">8.15, 8.16</x:t>
        </x:is>
      </x:c>
      <x:c r="J37" s="35" t="n">
        <x:v>90</x:v>
      </x:c>
      <x:c r="K37" s="35" t="n"/>
      <x:c r="L37" s="36" t="inlineStr">
        <x:is>
          <x:t xml:space="preserve">PT-11</x:t>
        </x:is>
      </x:c>
      <x:c r="M37" s="44" t="str">
        <x:v>GENERAL</x:v>
      </x:c>
      <x:c r="N37" s="44" t="str"/>
    </x:row>
    <x:row r="38" s="15" customFormat="1" ht="15" hidden="0" customHeight="1">
      <x:c r="A38" s="36" t="inlineStr">
        <x:is>
          <x:t xml:space="preserve">C-037</x:t>
        </x:is>
      </x:c>
      <x:c r="B38" s="36" t="inlineStr">
        <x:is>
          <x:t xml:space="preserve">RSC-018</x:t>
        </x:is>
      </x:c>
      <x:c r="C38" s="35" t="inlineStr">
        <x:is>
          <x:t xml:space="preserve">Rondas con puntos de paso registrados y revisión mensual de cumplimiento</x:t>
        </x:is>
      </x:c>
      <x:c r="D38" s="35" t="inlineStr">
        <x:is>
          <x:t xml:space="preserve">Eslabón 2 — ausencia de detección</x:t>
        </x:is>
      </x:c>
      <x:c r="E38" s="36" t="inlineStr">
        <x:is>
          <x:t xml:space="preserve">FISICO</x:t>
        </x:is>
      </x:c>
      <x:c r="F38" s="36" t="inlineStr">
        <x:is>
          <x:t xml:space="preserve">PLANIFICADO</x:t>
        </x:is>
      </x:c>
      <x:c r="G38" s="36" t="n"/>
      <x:c r="H38" s="35" t="inlineStr">
        <x:is>
          <x:t xml:space="preserve">Jefe de seguridad</x:t>
        </x:is>
      </x:c>
      <x:c r="I38" s="35" t="inlineStr">
        <x:is>
          <x:t xml:space="preserve">7.4</x:t>
        </x:is>
      </x:c>
      <x:c r="J38" s="35" t="n">
        <x:v>180</x:v>
      </x:c>
      <x:c r="K38" s="35" t="n"/>
      <x:c r="L38" s="36" t="inlineStr">
        <x:is>
          <x:t xml:space="preserve">PT-11</x:t>
        </x:is>
      </x:c>
      <x:c r="M38" s="44" t="str">
        <x:v>GENERAL</x:v>
      </x:c>
      <x:c r="N38" s="44" t="str"/>
    </x:row>
    <x:row r="39" s="15" customFormat="1" ht="24" hidden="0" customHeight="1">
      <x:c r="A39" s="36" t="inlineStr">
        <x:is>
          <x:t xml:space="preserve">C-038</x:t>
        </x:is>
      </x:c>
      <x:c r="B39" s="36" t="inlineStr">
        <x:is>
          <x:t xml:space="preserve">RSC-019</x:t>
        </x:is>
      </x:c>
      <x:c r="C39" s="35" t="inlineStr">
        <x:is>
          <x:t xml:space="preserve">Doble validación de toda disposición de efectivo por encima del umbral, con registro previo</x:t>
        </x:is>
      </x:c>
      <x:c r="D39" s="35" t="inlineStr">
        <x:is>
          <x:t xml:space="preserve">Eslabón 1 — decisión de la disposición</x:t>
        </x:is>
      </x:c>
      <x:c r="E39" s="36" t="inlineStr">
        <x:is>
          <x:t xml:space="preserve">ORGANIZATIVO</x:t>
        </x:is>
      </x:c>
      <x:c r="F39" s="36" t="inlineStr">
        <x:is>
          <x:t xml:space="preserve">PLANIFICADO</x:t>
        </x:is>
      </x:c>
      <x:c r="G39" s="36" t="n"/>
      <x:c r="H39" s="35" t="inlineStr">
        <x:is>
          <x:t xml:space="preserve">Resp. financiero</x:t>
        </x:is>
      </x:c>
      <x:c r="I39" s="35" t="inlineStr">
        <x:is>
          <x:t xml:space="preserve">5.3, 8.5</x:t>
        </x:is>
      </x:c>
      <x:c r="J39" s="35" t="n">
        <x:v>180</x:v>
      </x:c>
      <x:c r="K39" s="35" t="n"/>
      <x:c r="L39" s="36" t="inlineStr">
        <x:is>
          <x:t xml:space="preserve">PT-12</x:t>
        </x:is>
      </x:c>
      <x:c r="M39" s="44" t="str">
        <x:v>GENERAL</x:v>
      </x:c>
      <x:c r="N39" s="44" t="str"/>
    </x:row>
    <x:row r="40" s="15" customFormat="1" ht="24" hidden="0" customHeight="1">
      <x:c r="A40" s="36" t="inlineStr">
        <x:is>
          <x:t xml:space="preserve">C-039</x:t>
        </x:is>
      </x:c>
      <x:c r="B40" s="36" t="inlineStr">
        <x:is>
          <x:t xml:space="preserve">RSC-019</x:t>
        </x:is>
      </x:c>
      <x:c r="C40" s="35" t="inlineStr">
        <x:is>
          <x:t xml:space="preserve">Trazabilidad del movimiento: albarán o registro firmado en origen y destino, conciliado en 24 horas</x:t>
        </x:is>
      </x:c>
      <x:c r="D40" s="35" t="str">
        <x:v>Eslabón 2 — pérdida o desvío no reconstruible</x:v>
      </x:c>
      <x:c r="E40" s="36" t="str">
        <x:v>ORGANIZATIVO</x:v>
      </x:c>
      <x:c r="F40" s="36" t="inlineStr">
        <x:is>
          <x:t xml:space="preserve">PLANIFICADO</x:t>
        </x:is>
      </x:c>
      <x:c r="G40" s="36" t="n"/>
      <x:c r="H40" s="35" t="inlineStr">
        <x:is>
          <x:t xml:space="preserve">Resp. financiero</x:t>
        </x:is>
      </x:c>
      <x:c r="I40" s="35" t="str">
        <x:v>5.33</x:v>
      </x:c>
      <x:c r="J40" s="35" t="n">
        <x:v>180</x:v>
      </x:c>
      <x:c r="K40" s="35" t="n"/>
      <x:c r="L40" s="36" t="inlineStr">
        <x:is>
          <x:t xml:space="preserve">PT-12</x:t>
        </x:is>
      </x:c>
      <x:c r="M40" s="44" t="str">
        <x:v>GENERAL</x:v>
      </x:c>
      <x:c r="N40" s="44" t="str"/>
    </x:row>
    <x:row r="41" s="15" customFormat="1" ht="24" hidden="0" customHeight="1">
      <x:c r="A41" s="36" t="inlineStr">
        <x:is>
          <x:t xml:space="preserve">C-040</x:t>
        </x:is>
      </x:c>
      <x:c r="B41" s="36" t="inlineStr">
        <x:is>
          <x:t xml:space="preserve">RSC-019</x:t>
        </x:is>
      </x:c>
      <x:c r="C41" s="35" t="inlineStr">
        <x:is>
          <x:t xml:space="preserve">Protocolo de transporte: portador rotatorio, ruta y horario variables, acompañamiento por encima del umbral</x:t>
        </x:is>
      </x:c>
      <x:c r="D41" s="35" t="str">
        <x:v>Eslabón 1 — movimiento físico sin ruta variable</x:v>
      </x:c>
      <x:c r="E41" s="36" t="inlineStr">
        <x:is>
          <x:t xml:space="preserve">FISICO</x:t>
        </x:is>
      </x:c>
      <x:c r="F41" s="36" t="inlineStr">
        <x:is>
          <x:t xml:space="preserve">PLANIFICADO</x:t>
        </x:is>
      </x:c>
      <x:c r="G41" s="36" t="n"/>
      <x:c r="H41" s="35" t="inlineStr">
        <x:is>
          <x:t xml:space="preserve">Jefe de seguridad</x:t>
        </x:is>
      </x:c>
      <x:c r="I41" s="35" t="inlineStr">
        <x:is>
          <x:t xml:space="preserve">7.10, 7.9</x:t>
        </x:is>
      </x:c>
      <x:c r="J41" s="35" t="n">
        <x:v>180</x:v>
      </x:c>
      <x:c r="K41" s="35" t="n"/>
      <x:c r="L41" s="36" t="inlineStr">
        <x:is>
          <x:t xml:space="preserve">PT-12</x:t>
        </x:is>
      </x:c>
      <x:c r="M41" s="44" t="str">
        <x:v>GENERAL</x:v>
      </x:c>
      <x:c r="N41" s="44" t="str"/>
    </x:row>
    <x:row r="42" s="15" customFormat="1" ht="24" hidden="0" customHeight="1">
      <x:c r="A42" s="36" t="inlineStr">
        <x:is>
          <x:t xml:space="preserve">C-041</x:t>
        </x:is>
      </x:c>
      <x:c r="B42" s="36" t="inlineStr">
        <x:is>
          <x:t xml:space="preserve">RSC-019</x:t>
        </x:is>
      </x:c>
      <x:c r="C42" s="35" t="inlineStr">
        <x:is>
          <x:t xml:space="preserve">Clasificación Restringida de la existencia y el calendario de los movimientos; difusión mínima</x:t>
        </x:is>
      </x:c>
      <x:c r="D42" s="35" t="inlineStr">
        <x:is>
          <x:t xml:space="preserve">Eslabón 2 — conocimiento del movimiento</x:t>
        </x:is>
      </x:c>
      <x:c r="E42" s="36" t="inlineStr">
        <x:is>
          <x:t xml:space="preserve">ORGANIZATIVO</x:t>
        </x:is>
      </x:c>
      <x:c r="F42" s="36" t="inlineStr">
        <x:is>
          <x:t xml:space="preserve">PLANIFICADO</x:t>
        </x:is>
      </x:c>
      <x:c r="G42" s="36" t="n"/>
      <x:c r="H42" s="35" t="inlineStr">
        <x:is>
          <x:t xml:space="preserve">Resp. financiero</x:t>
        </x:is>
      </x:c>
      <x:c r="I42" s="35" t="inlineStr">
        <x:is>
          <x:t xml:space="preserve">5.12</x:t>
        </x:is>
      </x:c>
      <x:c r="J42" s="35" t="n">
        <x:v>365</x:v>
      </x:c>
      <x:c r="K42" s="35" t="n"/>
      <x:c r="L42" s="36" t="inlineStr">
        <x:is>
          <x:t xml:space="preserve">PT-12</x:t>
        </x:is>
      </x:c>
      <x:c r="M42" s="44" t="str">
        <x:v>GENERAL</x:v>
      </x:c>
      <x:c r="N42" s="44" t="str"/>
    </x:row>
    <x:row r="43" s="15" customFormat="1" ht="15" hidden="0" customHeight="1">
      <x:c r="A43" s="36" t="inlineStr">
        <x:is>
          <x:t xml:space="preserve">C-042</x:t>
        </x:is>
      </x:c>
      <x:c r="B43" s="36" t="inlineStr">
        <x:is>
          <x:t xml:space="preserve">RSC-020</x:t>
        </x:is>
      </x:c>
      <x:c r="C43" s="35" t="inlineStr">
        <x:is>
          <x:t xml:space="preserve">Planificación previa obligatoria de todo trabajo: lista nominal, fechas, horario y alcance</x:t>
        </x:is>
      </x:c>
      <x:c r="D43" s="35" t="inlineStr">
        <x:is>
          <x:t xml:space="preserve">Eslabón 1 — alta del acceso</x:t>
        </x:is>
      </x:c>
      <x:c r="E43" s="36" t="inlineStr">
        <x:is>
          <x:t xml:space="preserve">ORGANIZATIVO</x:t>
        </x:is>
      </x:c>
      <x:c r="F43" s="36" t="inlineStr">
        <x:is>
          <x:t xml:space="preserve">PLANIFICADO</x:t>
        </x:is>
      </x:c>
      <x:c r="G43" s="36" t="n"/>
      <x:c r="H43" s="35" t="inlineStr">
        <x:is>
          <x:t xml:space="preserve">Jefe de seguridad</x:t>
        </x:is>
      </x:c>
      <x:c r="I43" s="35" t="inlineStr">
        <x:is>
          <x:t xml:space="preserve">5.19, 5.20</x:t>
        </x:is>
      </x:c>
      <x:c r="J43" s="35" t="n">
        <x:v>180</x:v>
      </x:c>
      <x:c r="K43" s="35" t="n"/>
      <x:c r="L43" s="36" t="inlineStr">
        <x:is>
          <x:t xml:space="preserve">PT-13</x:t>
        </x:is>
      </x:c>
      <x:c r="M43" s="44" t="str">
        <x:v>GENERAL</x:v>
      </x:c>
      <x:c r="N43" s="44" t="str"/>
    </x:row>
    <x:row r="44" s="15" customFormat="1" ht="15" hidden="0" customHeight="1">
      <x:c r="A44" s="36" t="inlineStr">
        <x:is>
          <x:t xml:space="preserve">C-043</x:t>
        </x:is>
      </x:c>
      <x:c r="B44" s="36" t="inlineStr">
        <x:is>
          <x:t xml:space="preserve">RSC-020</x:t>
        </x:is>
      </x:c>
      <x:c r="C44" s="35" t="inlineStr">
        <x:is>
          <x:t xml:space="preserve">Acreditación nominal con identificación verificada y acompañamiento en zonas sensibles</x:t>
        </x:is>
      </x:c>
      <x:c r="D44" s="35" t="inlineStr">
        <x:is>
          <x:t xml:space="preserve">Eslabón 2 — circulación interior</x:t>
        </x:is>
      </x:c>
      <x:c r="E44" s="36" t="inlineStr">
        <x:is>
          <x:t xml:space="preserve">FISICO</x:t>
        </x:is>
      </x:c>
      <x:c r="F44" s="36" t="inlineStr">
        <x:is>
          <x:t xml:space="preserve">PLANIFICADO</x:t>
        </x:is>
      </x:c>
      <x:c r="G44" s="36" t="n"/>
      <x:c r="H44" s="35" t="inlineStr">
        <x:is>
          <x:t xml:space="preserve">Jefe de seguridad</x:t>
        </x:is>
      </x:c>
      <x:c r="I44" s="35" t="inlineStr">
        <x:is>
          <x:t xml:space="preserve">7.2, 7.6</x:t>
        </x:is>
      </x:c>
      <x:c r="J44" s="35" t="n">
        <x:v>90</x:v>
      </x:c>
      <x:c r="K44" s="35" t="n"/>
      <x:c r="L44" s="36" t="inlineStr">
        <x:is>
          <x:t xml:space="preserve">PT-13</x:t>
        </x:is>
      </x:c>
      <x:c r="M44" s="44" t="str">
        <x:v>GENERAL</x:v>
      </x:c>
      <x:c r="N44" s="44" t="str"/>
    </x:row>
    <x:row r="45" s="15" customFormat="1" ht="15" hidden="0" customHeight="1">
      <x:c r="A45" s="36" t="inlineStr">
        <x:is>
          <x:t xml:space="preserve">C-044</x:t>
        </x:is>
      </x:c>
      <x:c r="B45" s="36" t="inlineStr">
        <x:is>
          <x:t xml:space="preserve">RSC-020</x:t>
        </x:is>
      </x:c>
      <x:c r="C45" s="35" t="inlineStr">
        <x:is>
          <x:t xml:space="preserve">Registro de entradas y salidas de contratas, conservado y revisado mensualmente</x:t>
        </x:is>
      </x:c>
      <x:c r="D45" s="35" t="inlineStr">
        <x:is>
          <x:t xml:space="preserve">Eslabón 3 — ausencia de rastro</x:t>
        </x:is>
      </x:c>
      <x:c r="E45" s="36" t="str">
        <x:v>ORGANIZATIVO</x:v>
      </x:c>
      <x:c r="F45" s="36" t="inlineStr">
        <x:is>
          <x:t xml:space="preserve">PLANIFICADO</x:t>
        </x:is>
      </x:c>
      <x:c r="G45" s="36" t="n"/>
      <x:c r="H45" s="35" t="inlineStr">
        <x:is>
          <x:t xml:space="preserve">Jefe de seguridad</x:t>
        </x:is>
      </x:c>
      <x:c r="I45" s="35" t="str">
        <x:v>7.2, 5.33</x:v>
      </x:c>
      <x:c r="J45" s="35" t="n">
        <x:v>180</x:v>
      </x:c>
      <x:c r="K45" s="35" t="n"/>
      <x:c r="L45" s="36" t="inlineStr">
        <x:is>
          <x:t xml:space="preserve">PT-13</x:t>
        </x:is>
      </x:c>
      <x:c r="M45" s="44" t="str">
        <x:v>GENERAL</x:v>
      </x:c>
      <x:c r="N45" s="44" t="str"/>
    </x:row>
    <x:row r="46" s="15" customFormat="1" ht="15" hidden="0" customHeight="1">
      <x:c r="A46" s="36" t="inlineStr">
        <x:is>
          <x:t xml:space="preserve">C-045</x:t>
        </x:is>
      </x:c>
      <x:c r="B46" s="36" t="inlineStr">
        <x:is>
          <x:t xml:space="preserve">RSC-021</x:t>
        </x:is>
      </x:c>
      <x:c r="C46" s="35" t="inlineStr">
        <x:is>
          <x:t xml:space="preserve">Norma de aviso previo de invitados acordada con los hijos, con nombre y hora</x:t>
        </x:is>
      </x:c>
      <x:c r="D46" s="35" t="inlineStr">
        <x:is>
          <x:t xml:space="preserve">Eslabón 1 — introducción del tercero</x:t>
        </x:is>
      </x:c>
      <x:c r="E46" s="36" t="inlineStr">
        <x:is>
          <x:t xml:space="preserve">ORGANIZATIVO</x:t>
        </x:is>
      </x:c>
      <x:c r="F46" s="36" t="inlineStr">
        <x:is>
          <x:t xml:space="preserve">PLANIFICADO</x:t>
        </x:is>
      </x:c>
      <x:c r="G46" s="36" t="n"/>
      <x:c r="H46" s="35" t="inlineStr">
        <x:is>
          <x:t xml:space="preserve">Repr. de la propiedad</x:t>
        </x:is>
      </x:c>
      <x:c r="I46" s="35" t="inlineStr">
        <x:is>
          <x:t xml:space="preserve">5.10, 6.3</x:t>
        </x:is>
      </x:c>
      <x:c r="J46" s="35" t="n">
        <x:v>365</x:v>
      </x:c>
      <x:c r="K46" s="35" t="n"/>
      <x:c r="L46" s="36" t="inlineStr">
        <x:is>
          <x:t xml:space="preserve">PT-13</x:t>
        </x:is>
      </x:c>
      <x:c r="M46" s="44" t="str">
        <x:v>GENERAL</x:v>
      </x:c>
      <x:c r="N46" s="44" t="str"/>
    </x:row>
    <x:row r="47" s="15" customFormat="1" ht="15" hidden="0" customHeight="1">
      <x:c r="A47" s="36" t="inlineStr">
        <x:is>
          <x:t xml:space="preserve">C-046</x:t>
        </x:is>
      </x:c>
      <x:c r="B47" s="36" t="inlineStr">
        <x:is>
          <x:t xml:space="preserve">RSC-021</x:t>
        </x:is>
      </x:c>
      <x:c r="C47" s="35" t="inlineStr">
        <x:is>
          <x:t xml:space="preserve">Zona social delimitada para visitas no verificadas, sin acceso al resto de la residencia</x:t>
        </x:is>
      </x:c>
      <x:c r="D47" s="35" t="inlineStr">
        <x:is>
          <x:t xml:space="preserve">Eslabón 2 — acceso a zonas sensibles</x:t>
        </x:is>
      </x:c>
      <x:c r="E47" s="36" t="inlineStr">
        <x:is>
          <x:t xml:space="preserve">FISICO</x:t>
        </x:is>
      </x:c>
      <x:c r="F47" s="36" t="inlineStr">
        <x:is>
          <x:t xml:space="preserve">PLANIFICADO</x:t>
        </x:is>
      </x:c>
      <x:c r="G47" s="36" t="n"/>
      <x:c r="H47" s="35" t="inlineStr">
        <x:is>
          <x:t xml:space="preserve">Jefe de seguridad</x:t>
        </x:is>
      </x:c>
      <x:c r="I47" s="35" t="inlineStr">
        <x:is>
          <x:t xml:space="preserve">7.2, 7.3</x:t>
        </x:is>
      </x:c>
      <x:c r="J47" s="35" t="n">
        <x:v>365</x:v>
      </x:c>
      <x:c r="K47" s="35" t="n"/>
      <x:c r="L47" s="36" t="inlineStr">
        <x:is>
          <x:t xml:space="preserve">PT-13</x:t>
        </x:is>
      </x:c>
      <x:c r="M47" s="44" t="str">
        <x:v>GENERAL</x:v>
      </x:c>
      <x:c r="N47" s="44" t="str"/>
    </x:row>
    <x:row r="48" s="15" customFormat="1" ht="15" hidden="0" customHeight="1">
      <x:c r="A48" s="36" t="inlineStr">
        <x:is>
          <x:t xml:space="preserve">C-047</x:t>
        </x:is>
      </x:c>
      <x:c r="B48" s="36" t="inlineStr">
        <x:is>
          <x:t xml:space="preserve">RSC-021</x:t>
        </x:is>
      </x:c>
      <x:c r="C48" s="35" t="inlineStr">
        <x:is>
          <x:t xml:space="preserve">Registro de visitas en el sistema de acceso y cruce semanal con el cuaderno de indicios</x:t>
        </x:is>
      </x:c>
      <x:c r="D48" s="35" t="inlineStr">
        <x:is>
          <x:t xml:space="preserve">Eslabón 3 — ausencia de correlación</x:t>
        </x:is>
      </x:c>
      <x:c r="E48" s="36" t="inlineStr">
        <x:is>
          <x:t xml:space="preserve">DIGITAL</x:t>
        </x:is>
      </x:c>
      <x:c r="F48" s="36" t="inlineStr">
        <x:is>
          <x:t xml:space="preserve">PLANIFICADO</x:t>
        </x:is>
      </x:c>
      <x:c r="G48" s="36" t="n"/>
      <x:c r="H48" s="35" t="inlineStr">
        <x:is>
          <x:t xml:space="preserve">Jefe de seguridad</x:t>
        </x:is>
      </x:c>
      <x:c r="I48" s="35" t="inlineStr">
        <x:is>
          <x:t xml:space="preserve">7.2, 5.25</x:t>
        </x:is>
      </x:c>
      <x:c r="J48" s="35" t="n">
        <x:v>180</x:v>
      </x:c>
      <x:c r="K48" s="35" t="n"/>
      <x:c r="L48" s="36" t="inlineStr">
        <x:is>
          <x:t xml:space="preserve">PT-13</x:t>
        </x:is>
      </x:c>
      <x:c r="M48" s="44" t="str">
        <x:v>GENERAL</x:v>
      </x:c>
      <x:c r="N48" s="44" t="str"/>
    </x:row>
    <x:row r="49" s="15" customFormat="1" ht="15" hidden="0" customHeight="1">
      <x:c r="A49" s="36" t="inlineStr">
        <x:is>
          <x:t xml:space="preserve">C-048</x:t>
        </x:is>
      </x:c>
      <x:c r="B49" s="36" t="inlineStr">
        <x:is>
          <x:t xml:space="preserve">RSC-023</x:t>
        </x:is>
      </x:c>
      <x:c r="C49" s="35" t="inlineStr">
        <x:is>
          <x:t xml:space="preserve">Inventario documental con ubicación, responsable y plazo de conservación de cada serie</x:t>
        </x:is>
      </x:c>
      <x:c r="D49" s="35" t="inlineStr">
        <x:is>
          <x:t xml:space="preserve">Eslabón 1 — dispersión sin control</x:t>
        </x:is>
      </x:c>
      <x:c r="E49" s="36" t="inlineStr">
        <x:is>
          <x:t xml:space="preserve">ORGANIZATIVO</x:t>
        </x:is>
      </x:c>
      <x:c r="F49" s="36" t="inlineStr">
        <x:is>
          <x:t xml:space="preserve">PLANIFICADO</x:t>
        </x:is>
      </x:c>
      <x:c r="G49" s="36" t="n"/>
      <x:c r="H49" s="35" t="inlineStr">
        <x:is>
          <x:t xml:space="preserve">Dirección General</x:t>
        </x:is>
      </x:c>
      <x:c r="I49" s="35" t="inlineStr">
        <x:is>
          <x:t xml:space="preserve">5.9, 5.33</x:t>
        </x:is>
      </x:c>
      <x:c r="J49" s="35" t="n">
        <x:v>90</x:v>
      </x:c>
      <x:c r="K49" s="35" t="n"/>
      <x:c r="L49" s="36" t="inlineStr">
        <x:is>
          <x:t xml:space="preserve">PT-14</x:t>
        </x:is>
      </x:c>
      <x:c r="M49" s="44" t="str">
        <x:v>GENERAL</x:v>
      </x:c>
      <x:c r="N49" s="44" t="str"/>
    </x:row>
    <x:row r="50" s="15" customFormat="1" ht="15" hidden="0" customHeight="1">
      <x:c r="A50" s="36" t="inlineStr">
        <x:is>
          <x:t xml:space="preserve">C-049</x:t>
        </x:is>
      </x:c>
      <x:c r="B50" s="36" t="inlineStr">
        <x:is>
          <x:t xml:space="preserve">RSC-023</x:t>
        </x:is>
      </x:c>
      <x:c r="C50" s="35" t="inlineStr">
        <x:is>
          <x:t xml:space="preserve">Custodia en armario ignífugo con llave controlada; retirada del papel de zonas comunes</x:t>
        </x:is>
      </x:c>
      <x:c r="D50" s="35" t="inlineStr">
        <x:is>
          <x:t xml:space="preserve">Eslabón 2 — acceso al soporte</x:t>
        </x:is>
      </x:c>
      <x:c r="E50" s="36" t="inlineStr">
        <x:is>
          <x:t xml:space="preserve">FISICO</x:t>
        </x:is>
      </x:c>
      <x:c r="F50" s="36" t="inlineStr">
        <x:is>
          <x:t xml:space="preserve">PLANIFICADO</x:t>
        </x:is>
      </x:c>
      <x:c r="G50" s="36" t="n"/>
      <x:c r="H50" s="35" t="inlineStr">
        <x:is>
          <x:t xml:space="preserve">Dirección General</x:t>
        </x:is>
      </x:c>
      <x:c r="I50" s="35" t="inlineStr">
        <x:is>
          <x:t xml:space="preserve">7.10, 7.7</x:t>
        </x:is>
      </x:c>
      <x:c r="J50" s="35" t="n">
        <x:v>180</x:v>
      </x:c>
      <x:c r="K50" s="35" t="n"/>
      <x:c r="L50" s="36" t="inlineStr">
        <x:is>
          <x:t xml:space="preserve">PT-14</x:t>
        </x:is>
      </x:c>
      <x:c r="M50" s="44" t="str">
        <x:v>GENERAL</x:v>
      </x:c>
      <x:c r="N50" s="44" t="str"/>
    </x:row>
    <x:row r="51" s="15" customFormat="1" ht="24" hidden="0" customHeight="1">
      <x:c r="A51" s="36" t="inlineStr">
        <x:is>
          <x:t xml:space="preserve">C-050</x:t>
        </x:is>
      </x:c>
      <x:c r="B51" s="36" t="inlineStr">
        <x:is>
          <x:t xml:space="preserve">RSC-023</x:t>
        </x:is>
      </x:c>
      <x:c r="C51" s="35" t="inlineStr">
        <x:is>
          <x:t xml:space="preserve">Digitalización con clasificación y control de acceso por rol; destrucción certificada del papel redundante</x:t>
        </x:is>
      </x:c>
      <x:c r="D51" s="35" t="str">
        <x:v>Eslabón 2 — imposibilidad de saber qué falta</x:v>
      </x:c>
      <x:c r="E51" s="36" t="inlineStr">
        <x:is>
          <x:t xml:space="preserve">DIGITAL</x:t>
        </x:is>
      </x:c>
      <x:c r="F51" s="36" t="inlineStr">
        <x:is>
          <x:t xml:space="preserve">PLANIFICADO</x:t>
        </x:is>
      </x:c>
      <x:c r="G51" s="36" t="n"/>
      <x:c r="H51" s="35" t="inlineStr">
        <x:is>
          <x:t xml:space="preserve">Dirección General</x:t>
        </x:is>
      </x:c>
      <x:c r="I51" s="35" t="inlineStr">
        <x:is>
          <x:t xml:space="preserve">5.12, 5.15, 7.10</x:t>
        </x:is>
      </x:c>
      <x:c r="J51" s="35" t="n">
        <x:v>90</x:v>
      </x:c>
      <x:c r="K51" s="35" t="n"/>
      <x:c r="L51" s="36" t="inlineStr">
        <x:is>
          <x:t xml:space="preserve">PT-14</x:t>
        </x:is>
      </x:c>
      <x:c r="M51" s="44" t="str">
        <x:v>GENERAL</x:v>
      </x:c>
      <x:c r="N51" s="44" t="str"/>
    </x:row>
    <x:row r="52" s="15" customFormat="1" ht="15" hidden="0" customHeight="1">
      <x:c r="A52" s="36" t="inlineStr">
        <x:is>
          <x:t xml:space="preserve">C-051</x:t>
        </x:is>
      </x:c>
      <x:c r="B52" s="36" t="inlineStr">
        <x:is>
          <x:t xml:space="preserve">RSC-024</x:t>
        </x:is>
      </x:c>
      <x:c r="C52" s="35" t="inlineStr">
        <x:is>
          <x:t xml:space="preserve">Verificación técnica independiente anual del criterio y la configuración del MSP</x:t>
        </x:is>
      </x:c>
      <x:c r="D52" s="35" t="inlineStr">
        <x:is>
          <x:t xml:space="preserve">Eslabón 2 — decisiones por defecto</x:t>
        </x:is>
      </x:c>
      <x:c r="E52" s="36" t="inlineStr">
        <x:is>
          <x:t xml:space="preserve">ORGANIZATIVO</x:t>
        </x:is>
      </x:c>
      <x:c r="F52" s="36" t="inlineStr">
        <x:is>
          <x:t xml:space="preserve">PLANIFICADO</x:t>
        </x:is>
      </x:c>
      <x:c r="G52" s="36" t="n"/>
      <x:c r="H52" s="35" t="inlineStr">
        <x:is>
          <x:t xml:space="preserve">Dirección General</x:t>
        </x:is>
      </x:c>
      <x:c r="I52" s="35" t="inlineStr">
        <x:is>
          <x:t xml:space="preserve">5.35, 5.22</x:t>
        </x:is>
      </x:c>
      <x:c r="J52" s="35" t="n">
        <x:v>365</x:v>
      </x:c>
      <x:c r="K52" s="35" t="n"/>
      <x:c r="L52" s="36" t="inlineStr">
        <x:is>
          <x:t xml:space="preserve">PT-15</x:t>
        </x:is>
      </x:c>
      <x:c r="M52" s="44" t="str">
        <x:v>GENERAL</x:v>
      </x:c>
      <x:c r="N52" s="44" t="str"/>
    </x:row>
    <x:row r="53" s="15" customFormat="1" ht="24" hidden="0" customHeight="1">
      <x:c r="A53" s="36" t="inlineStr">
        <x:is>
          <x:t xml:space="preserve">C-052</x:t>
        </x:is>
      </x:c>
      <x:c r="B53" s="36" t="inlineStr">
        <x:is>
          <x:t xml:space="preserve">RSC-024</x:t>
        </x:is>
      </x:c>
      <x:c r="C53" s="35" t="inlineStr">
        <x:is>
          <x:t xml:space="preserve">Línea base de configuración documentada y contrastada, revisada tras cada cambio relevante</x:t>
        </x:is>
      </x:c>
      <x:c r="D53" s="35" t="inlineStr">
        <x:is>
          <x:t xml:space="preserve">Eslabón 1 — ausencia de criterio</x:t>
        </x:is>
      </x:c>
      <x:c r="E53" s="36" t="inlineStr">
        <x:is>
          <x:t xml:space="preserve">DIGITAL</x:t>
        </x:is>
      </x:c>
      <x:c r="F53" s="36" t="inlineStr">
        <x:is>
          <x:t xml:space="preserve">PLANIFICADO</x:t>
        </x:is>
      </x:c>
      <x:c r="G53" s="36" t="n"/>
      <x:c r="H53" s="35" t="inlineStr">
        <x:is>
          <x:t xml:space="preserve">Dirección General</x:t>
        </x:is>
      </x:c>
      <x:c r="I53" s="35" t="inlineStr">
        <x:is>
          <x:t xml:space="preserve">8.9, 8.8, 5.23, 8.32</x:t>
        </x:is>
      </x:c>
      <x:c r="J53" s="35" t="n">
        <x:v>90</x:v>
      </x:c>
      <x:c r="K53" s="35" t="n"/>
      <x:c r="L53" s="36" t="inlineStr">
        <x:is>
          <x:t xml:space="preserve">PT-15</x:t>
        </x:is>
      </x:c>
      <x:c r="M53" s="44" t="str">
        <x:v>GENERAL</x:v>
      </x:c>
      <x:c r="N53" s="44" t="str"/>
    </x:row>
    <x:row r="54" s="15" customFormat="1" ht="24" hidden="0" customHeight="1">
      <x:c r="A54" s="36" t="inlineStr">
        <x:is>
          <x:t xml:space="preserve">C-053</x:t>
        </x:is>
      </x:c>
      <x:c r="B54" s="36" t="inlineStr">
        <x:is>
          <x:t xml:space="preserve">RSC-025</x:t>
        </x:is>
      </x:c>
      <x:c r="C54" s="35" t="inlineStr">
        <x:is>
          <x:t xml:space="preserve">Protocolo de puntualidad y aviso: confirmación de posición 15 minutos antes de cada recogida</x:t>
        </x:is>
      </x:c>
      <x:c r="D54" s="35" t="inlineStr">
        <x:is>
          <x:t xml:space="preserve">Eslabón 1 — retraso no comunicado</x:t>
        </x:is>
      </x:c>
      <x:c r="E54" s="36" t="inlineStr">
        <x:is>
          <x:t xml:space="preserve">ORGANIZATIVO</x:t>
        </x:is>
      </x:c>
      <x:c r="F54" s="36" t="inlineStr">
        <x:is>
          <x:t xml:space="preserve">PLANIFICADO</x:t>
        </x:is>
      </x:c>
      <x:c r="G54" s="36" t="n"/>
      <x:c r="H54" s="35" t="inlineStr">
        <x:is>
          <x:t xml:space="preserve">Jefe de seguridad</x:t>
        </x:is>
      </x:c>
      <x:c r="I54" s="35" t="inlineStr">
        <x:is>
          <x:t xml:space="preserve">5.37</x:t>
        </x:is>
      </x:c>
      <x:c r="J54" s="35" t="n">
        <x:v>180</x:v>
      </x:c>
      <x:c r="K54" s="35" t="n"/>
      <x:c r="L54" s="36" t="inlineStr">
        <x:is>
          <x:t xml:space="preserve">PT-16</x:t>
        </x:is>
      </x:c>
      <x:c r="M54" s="44" t="str">
        <x:v>GENERAL</x:v>
      </x:c>
      <x:c r="N54" s="44" t="str"/>
    </x:row>
    <x:row r="55" s="15" customFormat="1" ht="15" hidden="0" customHeight="1">
      <x:c r="A55" s="36" t="inlineStr">
        <x:is>
          <x:t xml:space="preserve">C-054</x:t>
        </x:is>
      </x:c>
      <x:c r="B55" s="36" t="inlineStr">
        <x:is>
          <x:t xml:space="preserve">RSC-025</x:t>
        </x:is>
      </x:c>
      <x:c r="C55" s="35" t="inlineStr">
        <x:is>
          <x:t xml:space="preserve">Puntos de espera predefinidos, cubiertos y variables; nunca espera en vía abierta</x:t>
        </x:is>
      </x:c>
      <x:c r="D55" s="35" t="inlineStr">
        <x:is>
          <x:t xml:space="preserve">Eslabón 2 — exposición en el punto</x:t>
        </x:is>
      </x:c>
      <x:c r="E55" s="36" t="inlineStr">
        <x:is>
          <x:t xml:space="preserve">FISICO</x:t>
        </x:is>
      </x:c>
      <x:c r="F55" s="36" t="inlineStr">
        <x:is>
          <x:t xml:space="preserve">PLANIFICADO</x:t>
        </x:is>
      </x:c>
      <x:c r="G55" s="36" t="n"/>
      <x:c r="H55" s="35" t="inlineStr">
        <x:is>
          <x:t xml:space="preserve">Jefe de seguridad</x:t>
        </x:is>
      </x:c>
      <x:c r="I55" s="35" t="inlineStr">
        <x:is>
          <x:t xml:space="preserve">7.1, 7.2</x:t>
        </x:is>
      </x:c>
      <x:c r="J55" s="35" t="n">
        <x:v>180</x:v>
      </x:c>
      <x:c r="K55" s="35" t="n"/>
      <x:c r="L55" s="36" t="inlineStr">
        <x:is>
          <x:t xml:space="preserve">PT-16</x:t>
        </x:is>
      </x:c>
      <x:c r="M55" s="44" t="str">
        <x:v>GENERAL</x:v>
      </x:c>
      <x:c r="N55" s="44" t="str"/>
    </x:row>
    <x:row r="56" s="15" customFormat="1" ht="24" hidden="0" customHeight="1">
      <x:c r="A56" s="36" t="inlineStr">
        <x:is>
          <x:t xml:space="preserve">C-055</x:t>
        </x:is>
      </x:c>
      <x:c r="B56" s="36" t="inlineStr">
        <x:is>
          <x:t xml:space="preserve">RSC-025</x:t>
        </x:is>
      </x:c>
      <x:c r="C56" s="35" t="inlineStr">
        <x:is>
          <x:t xml:space="preserve">Seguimiento de posición del vehículo y aviso automático de desviación sobre el horario previsto</x:t>
        </x:is>
      </x:c>
      <x:c r="D56" s="35" t="inlineStr">
        <x:is>
          <x:t xml:space="preserve">Eslabón 1 — retraso no comunicado</x:t>
        </x:is>
      </x:c>
      <x:c r="E56" s="36" t="inlineStr">
        <x:is>
          <x:t xml:space="preserve">DIGITAL</x:t>
        </x:is>
      </x:c>
      <x:c r="F56" s="36" t="inlineStr">
        <x:is>
          <x:t xml:space="preserve">PLANIFICADO</x:t>
        </x:is>
      </x:c>
      <x:c r="G56" s="36" t="n"/>
      <x:c r="H56" s="35" t="inlineStr">
        <x:is>
          <x:t xml:space="preserve">Jefe de seguridad</x:t>
        </x:is>
      </x:c>
      <x:c r="I56" s="35" t="inlineStr">
        <x:is>
          <x:t xml:space="preserve">8.16</x:t>
        </x:is>
      </x:c>
      <x:c r="J56" s="35" t="n">
        <x:v>90</x:v>
      </x:c>
      <x:c r="K56" s="35" t="n"/>
      <x:c r="L56" s="36" t="inlineStr">
        <x:is>
          <x:t xml:space="preserve">PT-16</x:t>
        </x:is>
      </x:c>
      <x:c r="M56" s="44" t="str">
        <x:v>GENERAL</x:v>
      </x:c>
      <x:c r="N56" s="44" t="str"/>
    </x:row>
    <x:row r="57" s="15" customFormat="1" ht="24" hidden="0" customHeight="1">
      <x:c r="A57" s="36" t="inlineStr">
        <x:is>
          <x:t xml:space="preserve">C-056</x:t>
        </x:is>
      </x:c>
      <x:c r="B57" s="36" t="inlineStr">
        <x:is>
          <x:t xml:space="preserve">RSC-015</x:t>
        </x:is>
      </x:c>
      <x:c r="C57" s="35" t="inlineStr">
        <x:is>
          <x:t xml:space="preserve">Retirada activa de datos personales y patrimoniales de agregadores y registros consultables</x:t>
        </x:is>
      </x:c>
      <x:c r="D57" s="35" t="inlineStr">
        <x:is>
          <x:t xml:space="preserve">Eslabón 1 — agregación de fuentes</x:t>
        </x:is>
      </x:c>
      <x:c r="E57" s="36" t="inlineStr">
        <x:is>
          <x:t xml:space="preserve">DIGITAL</x:t>
        </x:is>
      </x:c>
      <x:c r="F57" s="36" t="inlineStr">
        <x:is>
          <x:t xml:space="preserve">PLANIFICADO</x:t>
        </x:is>
      </x:c>
      <x:c r="G57" s="36" t="n"/>
      <x:c r="H57" s="35" t="inlineStr">
        <x:is>
          <x:t xml:space="preserve">Repr. de la propiedad</x:t>
        </x:is>
      </x:c>
      <x:c r="I57" s="35" t="inlineStr">
        <x:is>
          <x:t xml:space="preserve">5.34, 5.7</x:t>
        </x:is>
      </x:c>
      <x:c r="J57" s="35" t="n">
        <x:v>90</x:v>
      </x:c>
      <x:c r="K57" s="35" t="n"/>
      <x:c r="L57" s="36" t="inlineStr">
        <x:is>
          <x:t xml:space="preserve">PT-02</x:t>
        </x:is>
      </x:c>
      <x:c r="M57" s="44" t="str">
        <x:v>GENERAL</x:v>
      </x:c>
      <x:c r="N57" s="44" t="str"/>
    </x:row>
    <x:row r="58" s="15" customFormat="1" ht="24" hidden="0" customHeight="1">
      <x:c r="A58" s="36" t="inlineStr">
        <x:is>
          <x:t xml:space="preserve">C-057</x:t>
        </x:is>
      </x:c>
      <x:c r="B58" s="36" t="inlineStr">
        <x:is>
          <x:t xml:space="preserve">RSC-015</x:t>
        </x:is>
      </x:c>
      <x:c r="C58" s="35" t="inlineStr">
        <x:is>
          <x:t xml:space="preserve">Reducción de la señal física asociable al patrimonio: matrículas, rotulación y accesos identificables</x:t>
        </x:is>
      </x:c>
      <x:c r="D58" s="35" t="inlineStr">
        <x:is>
          <x:t xml:space="preserve">Eslabón 2 — asociación con ubicaciones</x:t>
        </x:is>
      </x:c>
      <x:c r="E58" s="36" t="inlineStr">
        <x:is>
          <x:t xml:space="preserve">FISICO</x:t>
        </x:is>
      </x:c>
      <x:c r="F58" s="36" t="inlineStr">
        <x:is>
          <x:t xml:space="preserve">PLANIFICADO</x:t>
        </x:is>
      </x:c>
      <x:c r="G58" s="36" t="n"/>
      <x:c r="H58" s="35" t="inlineStr">
        <x:is>
          <x:t xml:space="preserve">Jefe de seguridad</x:t>
        </x:is>
      </x:c>
      <x:c r="I58" s="35" t="inlineStr">
        <x:is>
          <x:t xml:space="preserve">7.1</x:t>
        </x:is>
      </x:c>
      <x:c r="J58" s="35" t="n">
        <x:v>180</x:v>
      </x:c>
      <x:c r="K58" s="35" t="n"/>
      <x:c r="L58" s="36" t="inlineStr">
        <x:is>
          <x:t xml:space="preserve">PT-02</x:t>
        </x:is>
      </x:c>
      <x:c r="M58" s="44" t="str">
        <x:v>GENERAL</x:v>
      </x:c>
      <x:c r="N58" s="44" t="str"/>
    </x:row>
    <x:row r="59" s="15" customFormat="1" ht="72" hidden="0" customHeight="1">
      <x:c r="A59" s="36" t="inlineStr">
        <x:is>
          <x:t xml:space="preserve">C-058</x:t>
        </x:is>
      </x:c>
      <x:c r="B59" s="36" t="inlineStr">
        <x:is>
          <x:t xml:space="preserve">RSC-005</x:t>
        </x:is>
      </x:c>
      <x:c r="C59" s="35" t="inlineStr">
        <x:is>
          <x:t xml:space="preserve">Custodia física de las escrituras de poder y registro de su entrega y devolución</x:t>
        </x:is>
      </x:c>
      <x:c r="D59" s="35" t="str">
        <x:v>Eslabón 3 — disposición amparada en poderes; alcance condicionado al soporte material</x:v>
      </x:c>
      <x:c r="E59" s="36" t="inlineStr">
        <x:is>
          <x:t xml:space="preserve">FISICO</x:t>
        </x:is>
      </x:c>
      <x:c r="F59" s="36" t="inlineStr">
        <x:is>
          <x:t xml:space="preserve">PLANIFICADO</x:t>
        </x:is>
      </x:c>
      <x:c r="G59" s="36" t="n"/>
      <x:c r="H59" s="35" t="inlineStr">
        <x:is>
          <x:t xml:space="preserve">Resp. financiero</x:t>
        </x:is>
      </x:c>
      <x:c r="I59" s="35" t="inlineStr">
        <x:is>
          <x:t xml:space="preserve">7.10, 5.33</x:t>
        </x:is>
      </x:c>
      <x:c r="J59" s="35" t="n">
        <x:v>180</x:v>
      </x:c>
      <x:c r="K59" s="35" t="n"/>
      <x:c r="L59" s="36" t="inlineStr">
        <x:is>
          <x:t xml:space="preserve">PT-05</x:t>
        </x:is>
      </x:c>
      <x:c r="M59" s="44" t="str">
        <x:v>CONDICIONADO</x:v>
      </x:c>
      <x:c r="N59" s="44" t="str">
        <x:v>C-058 protege el uso material de escrituras; no impide instrucciones falsas con poderes ya vigentes.</x:v>
      </x:c>
    </x:row>
    <x:row r="60" s="15" customFormat="1" ht="72" hidden="0" customHeight="1">
      <x:c r="A60" s="36" t="inlineStr">
        <x:is>
          <x:t xml:space="preserve">C-059</x:t>
        </x:is>
      </x:c>
      <x:c r="B60" s="36" t="inlineStr">
        <x:is>
          <x:t xml:space="preserve">RSC-006</x:t>
        </x:is>
      </x:c>
      <x:c r="C60" s="35" t="str">
        <x:v>Verificación presencial obligatoria para órdenes ≥50.000 €: confirmación cara a cara con el solicitante antes de ejecutar; sin sustitución por canal remoto</x:v>
      </x:c>
      <x:c r="D60" s="35" t="inlineStr">
        <x:is>
          <x:t xml:space="preserve">Eslabón 3 — ejecución de la orden</x:t>
        </x:is>
      </x:c>
      <x:c r="E60" s="36" t="inlineStr">
        <x:is>
          <x:t xml:space="preserve">FISICO</x:t>
        </x:is>
      </x:c>
      <x:c r="F60" s="36" t="inlineStr">
        <x:is>
          <x:t xml:space="preserve">PLANIFICADO</x:t>
        </x:is>
      </x:c>
      <x:c r="G60" s="36" t="n"/>
      <x:c r="H60" s="35" t="inlineStr">
        <x:is>
          <x:t xml:space="preserve">Resp. financiero</x:t>
        </x:is>
      </x:c>
      <x:c r="I60" s="35" t="inlineStr">
        <x:is>
          <x:t xml:space="preserve">8.5, 5.17</x:t>
        </x:is>
      </x:c>
      <x:c r="J60" s="35" t="n">
        <x:v>180</x:v>
      </x:c>
      <x:c r="K60" s="35" t="n"/>
      <x:c r="L60" s="36" t="inlineStr">
        <x:is>
          <x:t xml:space="preserve">PT-06</x:t>
        </x:is>
      </x:c>
      <x:c r="M60" s="44" t="str">
        <x:v>CONDICIONADO</x:v>
      </x:c>
      <x:c r="N60" s="44" t="str">
        <x:v>C-059 solo para órdenes ≥50.000 €; no acredita cobertura física general de RSC-006.</x:v>
      </x:c>
    </x:row>
    <x:row r="61" s="15" customFormat="1" ht="72" hidden="0" customHeight="1">
      <x:c r="A61" s="36" t="str">
        <x:v>C-065</x:v>
      </x:c>
      <x:c r="B61" s="36" t="str">
        <x:v>RSC-010</x:v>
      </x:c>
      <x:c r="C61" s="35" t="str">
        <x:v>Confirmación presencial con el principal para órdenes ≥50.000 €, conforme a DOC-007 R3 y §4</x:v>
      </x:c>
      <x:c r="D61" s="35" t="str">
        <x:v>Eslabón 4 — ejecución sin verificación</x:v>
      </x:c>
      <x:c r="E61" s="36" t="str">
        <x:v>FISICO</x:v>
      </x:c>
      <x:c r="F61" s="36" t="str">
        <x:v>PLANIFICADO</x:v>
      </x:c>
      <x:c r="G61" s="36"/>
      <x:c r="H61" s="35" t="str">
        <x:v>Resp. financiero</x:v>
      </x:c>
      <x:c r="I61" s="35" t="str">
        <x:v>8.5, 5.17</x:v>
      </x:c>
      <x:c r="J61" s="35" t="n">
        <x:v>180</x:v>
      </x:c>
      <x:c r="K61" s="35"/>
      <x:c r="L61" s="36" t="str">
        <x:v>PT-06</x:v>
      </x:c>
      <x:c r="M61" s="44" t="str">
        <x:v>CONDICIONADO</x:v>
      </x:c>
      <x:c r="N61" s="44" t="str">
        <x:v>C-065 solo para órdenes ≥50.000 €; no acredita cobertura física general de RSC-010.</x:v>
      </x:c>
    </x:row>
    <x:row r="62" s="15" customFormat="1" ht="24" hidden="0" customHeight="1">
      <x:c r="A62" s="36" t="inlineStr">
        <x:is>
          <x:t xml:space="preserve">C-061</x:t>
        </x:is>
      </x:c>
      <x:c r="B62" s="36" t="inlineStr">
        <x:is>
          <x:t xml:space="preserve">RSC-010</x:t>
        </x:is>
      </x:c>
      <x:c r="C62" s="35" t="inlineStr">
        <x:is>
          <x:t xml:space="preserve">Palabra de control acordada y custodiada en papel, verificable fuera de banda ante una orden por voz</x:t>
        </x:is>
      </x:c>
      <x:c r="D62" s="35" t="inlineStr">
        <x:is>
          <x:t xml:space="preserve">Eslabón 3 — autorización de la orden</x:t>
        </x:is>
      </x:c>
      <x:c r="E62" s="36" t="str">
        <x:v>ORGANIZATIVO</x:v>
      </x:c>
      <x:c r="F62" s="36" t="inlineStr">
        <x:is>
          <x:t xml:space="preserve">PLANIFICADO</x:t>
        </x:is>
      </x:c>
      <x:c r="G62" s="36" t="n"/>
      <x:c r="H62" s="35" t="inlineStr">
        <x:is>
          <x:t xml:space="preserve">Resp. financiero</x:t>
        </x:is>
      </x:c>
      <x:c r="I62" s="35" t="inlineStr">
        <x:is>
          <x:t xml:space="preserve">5.17</x:t>
        </x:is>
      </x:c>
      <x:c r="J62" s="35" t="n">
        <x:v>180</x:v>
      </x:c>
      <x:c r="K62" s="35" t="n"/>
      <x:c r="L62" s="36" t="inlineStr">
        <x:is>
          <x:t xml:space="preserve">PT-06</x:t>
        </x:is>
      </x:c>
      <x:c r="M62" s="44" t="str">
        <x:v>GENERAL</x:v>
      </x:c>
      <x:c r="N62" s="44" t="str"/>
    </x:row>
    <x:row r="63" s="15" customFormat="1" ht="15" hidden="0" customHeight="1">
      <x:c r="A63" s="36" t="inlineStr">
        <x:is>
          <x:t xml:space="preserve">C-062</x:t>
        </x:is>
      </x:c>
      <x:c r="B63" s="36" t="inlineStr">
        <x:is>
          <x:t xml:space="preserve">RSC-010</x:t>
        </x:is>
      </x:c>
      <x:c r="C63" s="35" t="inlineStr">
        <x:is>
          <x:t xml:space="preserve">Bloqueo de órdenes por voz en banca: instrucción permanente firmada ante la entidad</x:t>
        </x:is>
      </x:c>
      <x:c r="D63" s="35" t="inlineStr">
        <x:is>
          <x:t xml:space="preserve">Eslabón 3 — autorización de la orden</x:t>
        </x:is>
      </x:c>
      <x:c r="E63" s="36" t="str">
        <x:v>ORGANIZATIVO</x:v>
      </x:c>
      <x:c r="F63" s="36" t="inlineStr">
        <x:is>
          <x:t xml:space="preserve">PLANIFICADO</x:t>
        </x:is>
      </x:c>
      <x:c r="G63" s="36" t="n"/>
      <x:c r="H63" s="35" t="inlineStr">
        <x:is>
          <x:t xml:space="preserve">Resp. financiero</x:t>
        </x:is>
      </x:c>
      <x:c r="I63" s="35" t="inlineStr">
        <x:is>
          <x:t xml:space="preserve">5.17, 8.5</x:t>
        </x:is>
      </x:c>
      <x:c r="J63" s="35" t="n">
        <x:v>365</x:v>
      </x:c>
      <x:c r="K63" s="35" t="n"/>
      <x:c r="L63" s="36" t="inlineStr">
        <x:is>
          <x:t xml:space="preserve">PT-06</x:t>
        </x:is>
      </x:c>
      <x:c r="M63" s="44" t="str">
        <x:v>GENERAL</x:v>
      </x:c>
      <x:c r="N63" s="44" t="str"/>
    </x:row>
    <x:row r="64" s="15" customFormat="1" ht="72" hidden="0" customHeight="1">
      <x:c r="A64" s="36" t="inlineStr">
        <x:is>
          <x:t xml:space="preserve">C-063</x:t>
        </x:is>
      </x:c>
      <x:c r="B64" s="36" t="inlineStr">
        <x:is>
          <x:t xml:space="preserve">RSC-014</x:t>
        </x:is>
      </x:c>
      <x:c r="C64" s="35" t="inlineStr">
        <x:is>
          <x:t xml:space="preserve">Custodia física en caja fuerte de las credenciales y firmas del principal, con registro de retirada</x:t>
        </x:is>
      </x:c>
      <x:c r="D64" s="35" t="inlineStr">
        <x:is>
          <x:t xml:space="preserve">Eslabón 1 — concentración de la identidad</x:t>
        </x:is>
      </x:c>
      <x:c r="E64" s="36" t="inlineStr">
        <x:is>
          <x:t xml:space="preserve">FISICO</x:t>
        </x:is>
      </x:c>
      <x:c r="F64" s="36" t="inlineStr">
        <x:is>
          <x:t xml:space="preserve">PLANIFICADO</x:t>
        </x:is>
      </x:c>
      <x:c r="G64" s="36" t="n"/>
      <x:c r="H64" s="35" t="inlineStr">
        <x:is>
          <x:t xml:space="preserve">Dirección General</x:t>
        </x:is>
      </x:c>
      <x:c r="I64" s="35" t="inlineStr">
        <x:is>
          <x:t xml:space="preserve">7.10, 5.17</x:t>
        </x:is>
      </x:c>
      <x:c r="J64" s="35" t="n">
        <x:v>180</x:v>
      </x:c>
      <x:c r="K64" s="35" t="n"/>
      <x:c r="L64" s="36" t="inlineStr">
        <x:is>
          <x:t xml:space="preserve">PT-06</x:t>
        </x:is>
      </x:c>
      <x:c r="M64" s="44" t="str">
        <x:v>CONDICIONADO</x:v>
      </x:c>
      <x:c r="N64" s="44" t="str">
        <x:v>C-063 protege la custodia física de credenciales y firmas; no cubre por sí solo compromiso del puesto o coacción.</x:v>
      </x:c>
    </x:row>
    <x:row r="65" s="15" customFormat="1" ht="24" hidden="0" customHeight="1">
      <x:c r="A65" s="36" t="inlineStr">
        <x:is>
          <x:t xml:space="preserve">C-064</x:t>
        </x:is>
      </x:c>
      <x:c r="B65" s="36" t="inlineStr">
        <x:is>
          <x:t xml:space="preserve">RSC-024</x:t>
        </x:is>
      </x:c>
      <x:c r="C65" s="35" t="inlineStr">
        <x:is>
          <x:t xml:space="preserve">Inventario físico de equipos y elementos de red de la residencia y la oficina, contrastado anualmente</x:t>
        </x:is>
      </x:c>
      <x:c r="D65" s="35" t="inlineStr">
        <x:is>
          <x:t xml:space="preserve">Eslabón 1 — ausencia de criterio</x:t>
        </x:is>
      </x:c>
      <x:c r="E65" s="36" t="str">
        <x:v>ORGANIZATIVO</x:v>
      </x:c>
      <x:c r="F65" s="36" t="inlineStr">
        <x:is>
          <x:t xml:space="preserve">PLANIFICADO</x:t>
        </x:is>
      </x:c>
      <x:c r="G65" s="36" t="n"/>
      <x:c r="H65" s="35" t="inlineStr">
        <x:is>
          <x:t xml:space="preserve">Dirección General</x:t>
        </x:is>
      </x:c>
      <x:c r="I65" s="35" t="inlineStr">
        <x:is>
          <x:t xml:space="preserve">5.9, 7.8</x:t>
        </x:is>
      </x:c>
      <x:c r="J65" s="35" t="n">
        <x:v>365</x:v>
      </x:c>
      <x:c r="K65" s="35" t="n"/>
      <x:c r="L65" s="36" t="inlineStr">
        <x:is>
          <x:t xml:space="preserve">PT-15</x:t>
        </x:is>
      </x:c>
      <x:c r="M65" s="44" t="str">
        <x:v>GENERAL</x:v>
      </x:c>
      <x:c r="N65" s="44" t="str"/>
    </x:row>
  </x:sheetData>
  <x:conditionalFormatting sqref="F2:F65">
    <x:cfRule type="cellIs" dxfId="3" priority="2" aboveAverage="0" percent="0" bottom="0" operator="equal" rank="0" equalAverage="0">
      <x:formula>"IMPLEMENTADO"</x:formula>
    </x:cfRule>
    <x:cfRule type="cellIs" dxfId="2" priority="3" aboveAverage="0" percent="0" bottom="0" operator="equal" rank="0" equalAverage="0">
      <x:formula>"PARCIAL"</x:formula>
    </x:cfRule>
  </x:conditionalFormatting>
  <x:dataValidations count="1">
    <x:dataValidation type="list" sqref="M2:M65">
      <x:formula1>"GENERAL,CONDICIONADO,PENDIENTE"</x:formula1>
    </x:dataValidation>
  </x:dataValidations>
  <x:pageMargins left="0.4" right="0.4" top="0.55" bottom="0.55" header="0.2" footer="0.2"/>
  <x:pageSetup paperSize="8" orientation="landscape" scale="85" fitToWidth="1" fitToHeight="0"/>
  <x:headerFooter>
    <x:oddFooter>&amp;LSGSIREG001002 v2.0 · Restringida&amp;CControles&amp;RPágina &amp;P de &amp;N</x:oddFooter>
    <x:oddHeader>&amp;LAtalaya · Revisión documental pendiente de aprobación&amp;R20/09/2026</x:oddHeader>
  </x:headerFooter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9" style="14" customWidth="1"/>
    <x:col min="2" max="2" width="26" style="14" customWidth="1"/>
    <x:col min="3" max="3" width="16" style="14" customWidth="1"/>
    <x:col min="4" max="4" width="34" style="14" customWidth="1"/>
    <x:col min="5" max="5" width="20" style="14" customWidth="1"/>
    <x:col min="6" max="6" width="10" style="14" customWidth="1"/>
    <x:col min="7" max="8" width="8" style="14" customWidth="1"/>
    <x:col min="9" max="9" width="10" style="14" customWidth="1"/>
    <x:col min="10" max="10" width="11" style="14" customWidth="1"/>
    <x:col min="11" max="11" width="13" style="14" customWidth="1"/>
    <x:col min="12" max="12" width="46" style="14" customWidth="1"/>
    <x:col min="13" max="13" width="34" style="14" customWidth="1"/>
    <x:col min="14" max="14" width="46" style="14" customWidth="1"/>
  </x:cols>
  <x:sheetData>
    <x:row r="1" s="15" customFormat="1" ht="24" hidden="0" customHeight="1">
      <x:c r="A1" s="34" t="inlineStr">
        <x:is>
          <x:t xml:space="preserve">Plan</x:t>
        </x:is>
      </x:c>
      <x:c r="B1" s="34" t="inlineStr">
        <x:is>
          <x:t xml:space="preserve">Riesgos</x:t>
        </x:is>
      </x:c>
      <x:c r="C1" s="34" t="inlineStr">
        <x:is>
          <x:t xml:space="preserve">Controles (ver hoja Controles)</x:t>
        </x:is>
      </x:c>
      <x:c r="D1" s="34" t="inlineStr">
        <x:is>
          <x:t xml:space="preserve">Ref. Anexo A / DOC</x:t>
        </x:is>
      </x:c>
      <x:c r="E1" s="34" t="inlineStr">
        <x:is>
          <x:t xml:space="preserve">Responsable</x:t>
        </x:is>
      </x:c>
      <x:c r="F1" s="34" t="inlineStr">
        <x:is>
          <x:t xml:space="preserve">Plazo</x:t>
        </x:is>
      </x:c>
      <x:c r="G1" s="34" t="inlineStr">
        <x:is>
          <x:t xml:space="preserve">P res.</x:t>
        </x:is>
      </x:c>
      <x:c r="H1" s="34" t="inlineStr">
        <x:is>
          <x:t xml:space="preserve">I res.</x:t>
        </x:is>
      </x:c>
      <x:c r="I1" s="34" t="inlineStr">
        <x:is>
          <x:t xml:space="preserve">Nivel res.</x:t>
        </x:is>
      </x:c>
      <x:c r="J1" s="34" t="inlineStr">
        <x:is>
          <x:t xml:space="preserve">Cat. res.</x:t>
        </x:is>
      </x:c>
      <x:c r="K1" s="34" t="inlineStr">
        <x:is>
          <x:t xml:space="preserve">Estado</x:t>
        </x:is>
      </x:c>
      <x:c r="L1" s="34" t="inlineStr">
        <x:is>
          <x:t xml:space="preserve">Aceptación del residual</x:t>
        </x:is>
      </x:c>
      <x:c r="M1" s="34" t="inlineStr">
        <x:is>
          <x:t xml:space="preserve">Registro de aceptación</x:t>
        </x:is>
      </x:c>
      <x:c r="N1" s="34" t="inlineStr">
        <x:is>
          <x:t xml:space="preserve">Aprobación del plan por el propietario del riesgo</x:t>
        </x:is>
      </x:c>
    </x:row>
    <x:row r="2" s="15" customFormat="1" ht="36" hidden="0" customHeight="1">
      <x:c r="A2" s="36" t="inlineStr">
        <x:is>
          <x:t xml:space="preserve">PT-01</x:t>
        </x:is>
      </x:c>
      <x:c r="B2" s="35" t="inlineStr">
        <x:is>
          <x:t xml:space="preserve">RSC-001</x:t>
        </x:is>
      </x:c>
      <x:c r="C2" s="35" t="inlineStr">
        <x:is>
          <x:t xml:space="preserve">C-001 a C-005</x:t>
        </x:is>
      </x:c>
      <x:c r="D2" s="35" t="inlineStr">
        <x:is>
          <x:t xml:space="preserve">A 5.10, 5.24, 5.25, 6.3, 6.8, 7.4, 8.1; DOC-008 §3, DOC-009 §5</x:t>
        </x:is>
      </x:c>
      <x:c r="E2" s="36" t="inlineStr">
        <x:is>
          <x:t xml:space="preserve">Jefe de seguridad</x:t>
        </x:is>
      </x:c>
      <x:c r="F2" s="36" t="inlineStr">
        <x:is>
          <x:t xml:space="preserve">6 meses</x:t>
        </x:is>
      </x:c>
      <x:c r="G2" s="36" t="n">
        <x:v>2</x:v>
      </x:c>
      <x:c r="H2" s="36" t="n">
        <x:v>4</x:v>
      </x:c>
      <x:c r="I2" s="36" t="n">
        <x:f>G2*H2</x:f>
        <x:v>8</x:v>
      </x:c>
      <x:c r="J2" s="36" t="str">
        <x:f>IF(I2&gt;=12,"Crítico",IF(I2&gt;=6,"Alto",IF(I2&gt;=3,"Moderado","Bajo")))</x:f>
        <x:v>Alto</x:v>
      </x:c>
      <x:c r="K2" s="36" t="inlineStr">
        <x:is>
          <x:t xml:space="preserve">EN CURSO</x:t>
        </x:is>
      </x:c>
      <x:c r="L2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2" s="36" t="inlineStr">
        <x:is>
          <x:t xml:space="preserve">Acta del Comité de 24/07/2026</x:t>
        </x:is>
      </x:c>
      <x:c r="N2" s="36" t="inlineStr">
        <x:is>
          <x:t xml:space="preserve">Aprobado por Jefe de seguridad — 24/07/2026 (acta del Comité de 24/07/2026)</x:t>
        </x:is>
      </x:c>
    </x:row>
    <x:row r="3" s="15" customFormat="1" ht="36" hidden="0" customHeight="1">
      <x:c r="A3" s="36" t="inlineStr">
        <x:is>
          <x:t xml:space="preserve">PT-02</x:t>
        </x:is>
      </x:c>
      <x:c r="B3" s="35" t="inlineStr">
        <x:is>
          <x:t xml:space="preserve">RSC-002, RSC-015</x:t>
        </x:is>
      </x:c>
      <x:c r="C3" s="35" t="inlineStr">
        <x:is>
          <x:t xml:space="preserve">C-006 a C-008, C-056, C-057</x:t>
        </x:is>
      </x:c>
      <x:c r="D3" s="35" t="inlineStr">
        <x:is>
          <x:t xml:space="preserve">A 5.7, 5.10, 5.34, 7.1; DOC-008 §3</x:t>
        </x:is>
      </x:c>
      <x:c r="E3" s="36" t="inlineStr">
        <x:is>
          <x:t xml:space="preserve">Repr. de la propiedad</x:t>
        </x:is>
      </x:c>
      <x:c r="F3" s="36" t="inlineStr">
        <x:is>
          <x:t xml:space="preserve">6 meses</x:t>
        </x:is>
      </x:c>
      <x:c r="G3" s="36" t="n">
        <x:v>2</x:v>
      </x:c>
      <x:c r="H3" s="36" t="n">
        <x:v>3</x:v>
      </x:c>
      <x:c r="I3" s="36" t="n">
        <x:f>G3*H3</x:f>
        <x:v>6</x:v>
      </x:c>
      <x:c r="J3" s="36" t="str">
        <x:f>IF(I3&gt;=12,"Crítico",IF(I3&gt;=6,"Alto",IF(I3&gt;=3,"Moderado","Bajo")))</x:f>
        <x:v>Alto</x:v>
      </x:c>
      <x:c r="K3" s="36" t="inlineStr">
        <x:is>
          <x:t xml:space="preserve">NO INICIADO</x:t>
        </x:is>
      </x:c>
      <x:c r="L3" s="36" t="inlineStr">
        <x:is>
          <x:t xml:space="preserve">Aceptado por Repr. de la propiedad, propietario(s) del riesgo (ISO/IEC 27001 6.1.3 f); residual Alto ratificado por acto expreso del Comité de Seguridad Convergente (DOC-004 §4.4)</x:t>
        </x:is>
      </x:c>
      <x:c r="M3" s="36" t="inlineStr">
        <x:is>
          <x:t xml:space="preserve">Acta del Comité de 24/07/2026</x:t>
        </x:is>
      </x:c>
      <x:c r="N3" s="36" t="inlineStr">
        <x:is>
          <x:t xml:space="preserve">Aprobado por Repr. de la propiedad — 24/07/2026 (acta del Comité de 24/07/2026)</x:t>
        </x:is>
      </x:c>
    </x:row>
    <x:row r="4" s="15" customFormat="1" ht="24" hidden="0" customHeight="1">
      <x:c r="A4" s="36" t="inlineStr">
        <x:is>
          <x:t xml:space="preserve">PT-03</x:t>
        </x:is>
      </x:c>
      <x:c r="B4" s="35" t="inlineStr">
        <x:is>
          <x:t xml:space="preserve">RSC-003</x:t>
        </x:is>
      </x:c>
      <x:c r="C4" s="35" t="inlineStr">
        <x:is>
          <x:t xml:space="preserve">C-009, C-010</x:t>
        </x:is>
      </x:c>
      <x:c r="D4" s="35" t="inlineStr">
        <x:is>
          <x:t xml:space="preserve">A 8.1, 7.9, 6.3; DOC-008 §4</x:t>
        </x:is>
      </x:c>
      <x:c r="E4" s="36" t="inlineStr">
        <x:is>
          <x:t xml:space="preserve">Jefe de seguridad</x:t>
        </x:is>
      </x:c>
      <x:c r="F4" s="36" t="inlineStr">
        <x:is>
          <x:t xml:space="preserve">6 meses</x:t>
        </x:is>
      </x:c>
      <x:c r="G4" s="36" t="n">
        <x:v>1</x:v>
      </x:c>
      <x:c r="H4" s="36" t="n">
        <x:v>4</x:v>
      </x:c>
      <x:c r="I4" s="36" t="n">
        <x:f>G4*H4</x:f>
        <x:v>4</x:v>
      </x:c>
      <x:c r="J4" s="36" t="str">
        <x:f>IF(I4&gt;=12,"Crítico",IF(I4&gt;=6,"Alto",IF(I4&gt;=3,"Moderado","Bajo")))</x:f>
        <x:v>Moderado</x:v>
      </x:c>
      <x:c r="K4" s="36" t="inlineStr">
        <x:is>
          <x:t xml:space="preserve">NO INICIADO</x:t>
        </x:is>
      </x:c>
      <x:c r="L4" s="36" t="inlineStr">
        <x:is>
          <x:t xml:space="preserve">Aceptado por Jefe de seguridad, propietario(s) del riesgo, con justificación documentada — residual Moderado (DOC-004 §4.4)</x:t>
        </x:is>
      </x:c>
      <x:c r="M4" s="36" t="inlineStr">
        <x:is>
          <x:t xml:space="preserve">Acta del Comité de 24/07/2026</x:t>
        </x:is>
      </x:c>
      <x:c r="N4" s="36" t="inlineStr">
        <x:is>
          <x:t xml:space="preserve">Aprobado por Jefe de seguridad — 24/07/2026 (acta del Comité de 24/07/2026)</x:t>
        </x:is>
      </x:c>
    </x:row>
    <x:row r="5" s="15" customFormat="1" ht="36" hidden="0" customHeight="1">
      <x:c r="A5" s="36" t="inlineStr">
        <x:is>
          <x:t xml:space="preserve">PT-04</x:t>
        </x:is>
      </x:c>
      <x:c r="B5" s="35" t="inlineStr">
        <x:is>
          <x:t xml:space="preserve">RSC-004</x:t>
        </x:is>
      </x:c>
      <x:c r="C5" s="35" t="inlineStr">
        <x:is>
          <x:t xml:space="preserve">C-011, C-012</x:t>
        </x:is>
      </x:c>
      <x:c r="D5" s="35" t="inlineStr">
        <x:is>
          <x:t xml:space="preserve">A 6.6, 6.3, 5.14; DOC-006 §4</x:t>
        </x:is>
      </x:c>
      <x:c r="E5" s="36" t="inlineStr">
        <x:is>
          <x:t xml:space="preserve">Dirección General</x:t>
        </x:is>
      </x:c>
      <x:c r="F5" s="36" t="inlineStr">
        <x:is>
          <x:t xml:space="preserve">6 meses</x:t>
        </x:is>
      </x:c>
      <x:c r="G5" s="36" t="n">
        <x:v>2</x:v>
      </x:c>
      <x:c r="H5" s="36" t="n">
        <x:v>3</x:v>
      </x:c>
      <x:c r="I5" s="36" t="n">
        <x:f>G5*H5</x:f>
        <x:v>6</x:v>
      </x:c>
      <x:c r="J5" s="36" t="str">
        <x:f>IF(I5&gt;=12,"Crítico",IF(I5&gt;=6,"Alto",IF(I5&gt;=3,"Moderado","Bajo")))</x:f>
        <x:v>Alto</x:v>
      </x:c>
      <x:c r="K5" s="36" t="inlineStr">
        <x:is>
          <x:t xml:space="preserve">EN CURSO</x:t>
        </x:is>
      </x:c>
      <x:c r="L5" s="36" t="str">
        <x:v>Residual previsto conservado como hipótesis histórica. Revalidación y aceptación de la revisión pendientes; no acredita reducción efectiva.</x:v>
      </x:c>
      <x:c r="M5" s="36" t="inlineStr">
        <x:is>
          <x:t xml:space="preserve">Acta del Comité de 24/07/2026</x:t>
        </x:is>
      </x:c>
      <x:c r="N5" s="36" t="str">
        <x:v>Aprobación de la revisión pendiente por el propietario del riesgo. La aprobación histórica no se traslada automáticamente.</x:v>
      </x:c>
    </x:row>
    <x:row r="6" s="15" customFormat="1" ht="36" hidden="0" customHeight="1">
      <x:c r="A6" s="36" t="inlineStr">
        <x:is>
          <x:t xml:space="preserve">PT-05</x:t>
        </x:is>
      </x:c>
      <x:c r="B6" s="35" t="inlineStr">
        <x:is>
          <x:t xml:space="preserve">RSC-005</x:t>
        </x:is>
      </x:c>
      <x:c r="C6" s="35" t="inlineStr">
        <x:is>
          <x:t xml:space="preserve">C-013, C-014, C-058</x:t>
        </x:is>
      </x:c>
      <x:c r="D6" s="35" t="inlineStr">
        <x:is>
          <x:t xml:space="preserve">A 5.18, 5.16, 5.17, 7.10; DOC-006 §4</x:t>
        </x:is>
      </x:c>
      <x:c r="E6" s="36" t="inlineStr">
        <x:is>
          <x:t xml:space="preserve">Resp. financiero</x:t>
        </x:is>
      </x:c>
      <x:c r="F6" s="36" t="inlineStr">
        <x:is>
          <x:t xml:space="preserve">4 meses</x:t>
        </x:is>
      </x:c>
      <x:c r="G6" s="36" t="n">
        <x:v>2</x:v>
      </x:c>
      <x:c r="H6" s="36" t="n">
        <x:v>4</x:v>
      </x:c>
      <x:c r="I6" s="36" t="n">
        <x:f>G6*H6</x:f>
        <x:v>8</x:v>
      </x:c>
      <x:c r="J6" s="36" t="str">
        <x:f>IF(I6&gt;=12,"Crítico",IF(I6&gt;=6,"Alto",IF(I6&gt;=3,"Moderado","Bajo")))</x:f>
        <x:v>Alto</x:v>
      </x:c>
      <x:c r="K6" s="36" t="inlineStr">
        <x:is>
          <x:t xml:space="preserve">EN CURSO</x:t>
        </x:is>
      </x:c>
      <x:c r="L6" s="36" t="inlineStr">
        <x:is>
          <x:t xml:space="preserve">Aceptado por Resp. financiero, propietario(s) del riesgo (ISO/IEC 27001 6.1.3 f); residual Alto ratificado por acto expreso del Comité de Seguridad Convergente (DOC-004 §4.4)</x:t>
        </x:is>
      </x:c>
      <x:c r="M6" s="36" t="inlineStr">
        <x:is>
          <x:t xml:space="preserve">Acta del Comité de 24/07/2026</x:t>
        </x:is>
      </x:c>
      <x:c r="N6" s="36" t="inlineStr">
        <x:is>
          <x:t xml:space="preserve">Aprobado por Resp. financiero — 24/07/2026 (acta del Comité de 24/07/2026)</x:t>
        </x:is>
      </x:c>
    </x:row>
    <x:row r="7" s="15" customFormat="1" ht="36" hidden="0" customHeight="1">
      <x:c r="A7" s="36" t="inlineStr">
        <x:is>
          <x:t xml:space="preserve">PT-06</x:t>
        </x:is>
      </x:c>
      <x:c r="B7" s="35" t="inlineStr">
        <x:is>
          <x:t xml:space="preserve">RSC-006, RSC-007, RSC-010, RSC-014, RSC-016</x:t>
        </x:is>
      </x:c>
      <x:c r="C7" s="35" t="str">
        <x:v>C-015 a C-020, C-059, C-061 a C-063, C-065</x:v>
      </x:c>
      <x:c r="D7" s="35" t="inlineStr">
        <x:is>
          <x:t xml:space="preserve">A 5.14, 5.17, 8.5, 8.24, 7.10; DOC-007</x:t>
        </x:is>
      </x:c>
      <x:c r="E7" s="36" t="inlineStr">
        <x:is>
          <x:t xml:space="preserve">Resp. financiero</x:t>
        </x:is>
      </x:c>
      <x:c r="F7" s="36" t="inlineStr">
        <x:is>
          <x:t xml:space="preserve">2-4 meses</x:t>
        </x:is>
      </x:c>
      <x:c r="G7" s="36" t="n">
        <x:v>1</x:v>
      </x:c>
      <x:c r="H7" s="36" t="n">
        <x:v>4</x:v>
      </x:c>
      <x:c r="I7" s="36" t="n">
        <x:f>G7*H7</x:f>
        <x:v>4</x:v>
      </x:c>
      <x:c r="J7" s="36" t="str">
        <x:f>IF(I7&gt;=12,"Crítico",IF(I7&gt;=6,"Alto",IF(I7&gt;=3,"Moderado","Bajo")))</x:f>
        <x:v>Moderado</x:v>
      </x:c>
      <x:c r="K7" s="36" t="inlineStr">
        <x:is>
          <x:t xml:space="preserve">EN CURSO</x:t>
        </x:is>
      </x:c>
      <x:c r="L7" s="36" t="str">
        <x:v>Residual previsto conservado como hipótesis histórica. Revalidación y aceptación de la revisión pendientes; no acredita reducción efectiva.</x:v>
      </x:c>
      <x:c r="M7" s="36" t="inlineStr">
        <x:is>
          <x:t xml:space="preserve">Acta del Comité de 24/07/2026</x:t>
        </x:is>
      </x:c>
      <x:c r="N7" s="36" t="str">
        <x:v>Aprobación de la revisión pendiente por el propietario del riesgo. La aprobación histórica no se traslada automáticamente.</x:v>
      </x:c>
    </x:row>
    <x:row r="8" s="15" customFormat="1" ht="24" hidden="0" customHeight="1">
      <x:c r="A8" s="36" t="inlineStr">
        <x:is>
          <x:t xml:space="preserve">PT-07</x:t>
        </x:is>
      </x:c>
      <x:c r="B8" s="35" t="inlineStr">
        <x:is>
          <x:t xml:space="preserve">RSC-008, RSC-009</x:t>
        </x:is>
      </x:c>
      <x:c r="C8" s="35" t="inlineStr">
        <x:is>
          <x:t xml:space="preserve">C-021 a C-024</x:t>
        </x:is>
      </x:c>
      <x:c r="D8" s="35" t="inlineStr">
        <x:is>
          <x:t xml:space="preserve">A 5.20, 5.22, 8.2, 8.20, 8.22, 7.4, 7.8; DOC-006 §5</x:t>
        </x:is>
      </x:c>
      <x:c r="E8" s="36" t="inlineStr">
        <x:is>
          <x:t xml:space="preserve">Jefe de seguridad</x:t>
        </x:is>
      </x:c>
      <x:c r="F8" s="36" t="inlineStr">
        <x:is>
          <x:t xml:space="preserve">6 meses</x:t>
        </x:is>
      </x:c>
      <x:c r="G8" s="36" t="n">
        <x:v>1</x:v>
      </x:c>
      <x:c r="H8" s="36" t="n">
        <x:v>4</x:v>
      </x:c>
      <x:c r="I8" s="36" t="n">
        <x:f>G8*H8</x:f>
        <x:v>4</x:v>
      </x:c>
      <x:c r="J8" s="36" t="str">
        <x:f>IF(I8&gt;=12,"Crítico",IF(I8&gt;=6,"Alto",IF(I8&gt;=3,"Moderado","Bajo")))</x:f>
        <x:v>Moderado</x:v>
      </x:c>
      <x:c r="K8" s="36" t="inlineStr">
        <x:is>
          <x:t xml:space="preserve">NO INICIADO</x:t>
        </x:is>
      </x:c>
      <x:c r="L8" s="36" t="inlineStr">
        <x:is>
          <x:t xml:space="preserve">Aceptado por Jefe de seguridad, propietario(s) del riesgo, con justificación documentada — residual Moderado (DOC-004 §4.4)</x:t>
        </x:is>
      </x:c>
      <x:c r="M8" s="36" t="inlineStr">
        <x:is>
          <x:t xml:space="preserve">Acta del Comité de 24/07/2026</x:t>
        </x:is>
      </x:c>
      <x:c r="N8" s="36" t="inlineStr">
        <x:is>
          <x:t xml:space="preserve">Aprobado por Jefe de seguridad — 24/07/2026 (acta del Comité de 24/07/2026)</x:t>
        </x:is>
      </x:c>
    </x:row>
    <x:row r="9" s="15" customFormat="1" ht="36" hidden="0" customHeight="1">
      <x:c r="A9" s="36" t="inlineStr">
        <x:is>
          <x:t xml:space="preserve">PT-08</x:t>
        </x:is>
      </x:c>
      <x:c r="B9" s="35" t="inlineStr">
        <x:is>
          <x:t xml:space="preserve">RSC-011</x:t>
        </x:is>
      </x:c>
      <x:c r="C9" s="35" t="inlineStr">
        <x:is>
          <x:t xml:space="preserve">C-025, C-026</x:t>
        </x:is>
      </x:c>
      <x:c r="D9" s="35" t="inlineStr">
        <x:is>
          <x:t xml:space="preserve">A 7.2, 7.6, 8.22; DOC-006</x:t>
        </x:is>
      </x:c>
      <x:c r="E9" s="36" t="inlineStr">
        <x:is>
          <x:t xml:space="preserve">Jefe de seguridad</x:t>
        </x:is>
      </x:c>
      <x:c r="F9" s="36" t="inlineStr">
        <x:is>
          <x:t xml:space="preserve">6 meses</x:t>
        </x:is>
      </x:c>
      <x:c r="G9" s="36" t="n">
        <x:v>2</x:v>
      </x:c>
      <x:c r="H9" s="36" t="n">
        <x:v>3</x:v>
      </x:c>
      <x:c r="I9" s="36" t="n">
        <x:f>G9*H9</x:f>
        <x:v>6</x:v>
      </x:c>
      <x:c r="J9" s="36" t="str">
        <x:f>IF(I9&gt;=12,"Crítico",IF(I9&gt;=6,"Alto",IF(I9&gt;=3,"Moderado","Bajo")))</x:f>
        <x:v>Alto</x:v>
      </x:c>
      <x:c r="K9" s="36" t="inlineStr">
        <x:is>
          <x:t xml:space="preserve">NO INICIADO</x:t>
        </x:is>
      </x:c>
      <x:c r="L9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9" s="36" t="inlineStr">
        <x:is>
          <x:t xml:space="preserve">Acta del Comité de 24/07/2026</x:t>
        </x:is>
      </x:c>
      <x:c r="N9" s="36" t="inlineStr">
        <x:is>
          <x:t xml:space="preserve">Aprobado por Jefe de seguridad — 24/07/2026 (acta del Comité de 24/07/2026)</x:t>
        </x:is>
      </x:c>
    </x:row>
    <x:row r="10" s="15" customFormat="1" ht="36" hidden="0" customHeight="1">
      <x:c r="A10" s="36" t="inlineStr">
        <x:is>
          <x:t xml:space="preserve">PT-09</x:t>
        </x:is>
      </x:c>
      <x:c r="B10" s="35" t="inlineStr">
        <x:is>
          <x:t xml:space="preserve">RSC-012, RSC-022</x:t>
        </x:is>
      </x:c>
      <x:c r="C10" s="35" t="inlineStr">
        <x:is>
          <x:t xml:space="preserve">C-027 a C-031</x:t>
        </x:is>
      </x:c>
      <x:c r="D10" s="35" t="inlineStr">
        <x:is>
          <x:t xml:space="preserve">A 7.9, 8.1, 8.24, 6.7, 5.12; DOC-008</x:t>
        </x:is>
      </x:c>
      <x:c r="E10" s="36" t="inlineStr">
        <x:is>
          <x:t xml:space="preserve">Jefe de seguridad</x:t>
        </x:is>
      </x:c>
      <x:c r="F10" s="36" t="inlineStr">
        <x:is>
          <x:t xml:space="preserve">3 meses</x:t>
        </x:is>
      </x:c>
      <x:c r="G10" s="36" t="n">
        <x:v>2</x:v>
      </x:c>
      <x:c r="H10" s="36" t="n">
        <x:v>4</x:v>
      </x:c>
      <x:c r="I10" s="36" t="n">
        <x:f>G10*H10</x:f>
        <x:v>8</x:v>
      </x:c>
      <x:c r="J10" s="36" t="str">
        <x:f>IF(I10&gt;=12,"Crítico",IF(I10&gt;=6,"Alto",IF(I10&gt;=3,"Moderado","Bajo")))</x:f>
        <x:v>Alto</x:v>
      </x:c>
      <x:c r="K10" s="36" t="inlineStr">
        <x:is>
          <x:t xml:space="preserve">NO INICIADO</x:t>
        </x:is>
      </x:c>
      <x:c r="L10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10" s="36" t="inlineStr">
        <x:is>
          <x:t xml:space="preserve">Acta del Comité de 24/07/2026</x:t>
        </x:is>
      </x:c>
      <x:c r="N10" s="36" t="inlineStr">
        <x:is>
          <x:t xml:space="preserve">Aprobado por Jefe de seguridad — 24/07/2026 (acta del Comité de 24/07/2026)</x:t>
        </x:is>
      </x:c>
    </x:row>
    <x:row r="11" s="15" customFormat="1" ht="36" hidden="0" customHeight="1">
      <x:c r="A11" s="36" t="inlineStr">
        <x:is>
          <x:t xml:space="preserve">PT-10</x:t>
        </x:is>
      </x:c>
      <x:c r="B11" s="35" t="inlineStr">
        <x:is>
          <x:t xml:space="preserve">RSC-013</x:t>
        </x:is>
      </x:c>
      <x:c r="C11" s="35" t="inlineStr">
        <x:is>
          <x:t xml:space="preserve">C-032, C-033</x:t>
        </x:is>
      </x:c>
      <x:c r="D11" s="35" t="inlineStr">
        <x:is>
          <x:t xml:space="preserve">A 8.13, 7.10, 6.3</x:t>
        </x:is>
      </x:c>
      <x:c r="E11" s="36" t="inlineStr">
        <x:is>
          <x:t xml:space="preserve">Dirección General</x:t>
        </x:is>
      </x:c>
      <x:c r="F11" s="36" t="inlineStr">
        <x:is>
          <x:t xml:space="preserve">4 meses</x:t>
        </x:is>
      </x:c>
      <x:c r="G11" s="36" t="n">
        <x:v>2</x:v>
      </x:c>
      <x:c r="H11" s="36" t="n">
        <x:v>3</x:v>
      </x:c>
      <x:c r="I11" s="36" t="n">
        <x:f>G11*H11</x:f>
        <x:v>6</x:v>
      </x:c>
      <x:c r="J11" s="36" t="str">
        <x:f>IF(I11&gt;=12,"Crítico",IF(I11&gt;=6,"Alto",IF(I11&gt;=3,"Moderado","Bajo")))</x:f>
        <x:v>Alto</x:v>
      </x:c>
      <x:c r="K11" s="36" t="inlineStr">
        <x:is>
          <x:t xml:space="preserve">NO INICIADO</x:t>
        </x:is>
      </x:c>
      <x:c r="L11" s="36" t="inlineStr">
        <x:is>
          <x:t xml:space="preserve">Aceptado por Dirección General, propietario(s) del riesgo (ISO/IEC 27001 6.1.3 f); residual Alto ratificado por acto expreso del Comité de Seguridad Convergente (DOC-004 §4.4)</x:t>
        </x:is>
      </x:c>
      <x:c r="M11" s="36" t="inlineStr">
        <x:is>
          <x:t xml:space="preserve">Acta del Comité de 24/07/2026</x:t>
        </x:is>
      </x:c>
      <x:c r="N11" s="36" t="inlineStr">
        <x:is>
          <x:t xml:space="preserve">Aprobado por Dirección General — 24/07/2026 (acta del Comité de 24/07/2026)</x:t>
        </x:is>
      </x:c>
    </x:row>
    <x:row r="12" s="15" customFormat="1" ht="36" hidden="0" customHeight="1">
      <x:c r="A12" s="36" t="inlineStr">
        <x:is>
          <x:t xml:space="preserve">PT-11</x:t>
        </x:is>
      </x:c>
      <x:c r="B12" s="35" t="inlineStr">
        <x:is>
          <x:t xml:space="preserve">RSC-018</x:t>
        </x:is>
      </x:c>
      <x:c r="C12" s="35" t="inlineStr">
        <x:is>
          <x:t xml:space="preserve">C-034 a C-037</x:t>
        </x:is>
      </x:c>
      <x:c r="D12" s="35" t="inlineStr">
        <x:is>
          <x:t xml:space="preserve">A 5.36, 5.37, 7.1, 7.4, 8.15, 8.16</x:t>
        </x:is>
      </x:c>
      <x:c r="E12" s="36" t="inlineStr">
        <x:is>
          <x:t xml:space="preserve">Jefe de seguridad</x:t>
        </x:is>
      </x:c>
      <x:c r="F12" s="36" t="inlineStr">
        <x:is>
          <x:t xml:space="preserve">2 meses</x:t>
        </x:is>
      </x:c>
      <x:c r="G12" s="36" t="n">
        <x:v>2</x:v>
      </x:c>
      <x:c r="H12" s="36" t="n">
        <x:v>4</x:v>
      </x:c>
      <x:c r="I12" s="36" t="n">
        <x:f>G12*H12</x:f>
        <x:v>8</x:v>
      </x:c>
      <x:c r="J12" s="36" t="str">
        <x:f>IF(I12&gt;=12,"Crítico",IF(I12&gt;=6,"Alto",IF(I12&gt;=3,"Moderado","Bajo")))</x:f>
        <x:v>Alto</x:v>
      </x:c>
      <x:c r="K12" s="36" t="inlineStr">
        <x:is>
          <x:t xml:space="preserve">NO INICIADO</x:t>
        </x:is>
      </x:c>
      <x:c r="L12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12" s="36" t="inlineStr">
        <x:is>
          <x:t xml:space="preserve">Acta del Comité de 24/07/2026</x:t>
        </x:is>
      </x:c>
      <x:c r="N12" s="36" t="inlineStr">
        <x:is>
          <x:t xml:space="preserve">Aprobado por Jefe de seguridad — 24/07/2026 (acta del Comité de 24/07/2026)</x:t>
        </x:is>
      </x:c>
    </x:row>
    <x:row r="13" s="15" customFormat="1" ht="24" hidden="0" customHeight="1">
      <x:c r="A13" s="36" t="inlineStr">
        <x:is>
          <x:t xml:space="preserve">PT-12</x:t>
        </x:is>
      </x:c>
      <x:c r="B13" s="35" t="inlineStr">
        <x:is>
          <x:t xml:space="preserve">RSC-019</x:t>
        </x:is>
      </x:c>
      <x:c r="C13" s="35" t="inlineStr">
        <x:is>
          <x:t xml:space="preserve">C-038 a C-041</x:t>
        </x:is>
      </x:c>
      <x:c r="D13" s="35" t="inlineStr">
        <x:is>
          <x:t xml:space="preserve">A 5.3, 8.5, 5.12, 5.33, 7.10, 7.9; DOC-007</x:t>
        </x:is>
      </x:c>
      <x:c r="E13" s="36" t="inlineStr">
        <x:is>
          <x:t xml:space="preserve">Resp. financiero</x:t>
        </x:is>
      </x:c>
      <x:c r="F13" s="36" t="inlineStr">
        <x:is>
          <x:t xml:space="preserve">3 meses</x:t>
        </x:is>
      </x:c>
      <x:c r="G13" s="36" t="n">
        <x:v>1</x:v>
      </x:c>
      <x:c r="H13" s="36" t="n">
        <x:v>4</x:v>
      </x:c>
      <x:c r="I13" s="36" t="n">
        <x:f>G13*H13</x:f>
        <x:v>4</x:v>
      </x:c>
      <x:c r="J13" s="36" t="str">
        <x:f>IF(I13&gt;=12,"Crítico",IF(I13&gt;=6,"Alto",IF(I13&gt;=3,"Moderado","Bajo")))</x:f>
        <x:v>Moderado</x:v>
      </x:c>
      <x:c r="K13" s="36" t="inlineStr">
        <x:is>
          <x:t xml:space="preserve">NO INICIADO</x:t>
        </x:is>
      </x:c>
      <x:c r="L13" s="36" t="str">
        <x:v>Residual previsto conservado como hipótesis histórica. Revalidación y aceptación de la revisión pendientes; no acredita reducción efectiva.</x:v>
      </x:c>
      <x:c r="M13" s="36" t="inlineStr">
        <x:is>
          <x:t xml:space="preserve">Acta del Comité de 24/07/2026</x:t>
        </x:is>
      </x:c>
      <x:c r="N13" s="36" t="str">
        <x:v>Aprobación de la revisión pendiente por el propietario del riesgo. La aprobación histórica no se traslada automáticamente.</x:v>
      </x:c>
    </x:row>
    <x:row r="14" s="15" customFormat="1" ht="48" hidden="0" customHeight="1">
      <x:c r="A14" s="36" t="inlineStr">
        <x:is>
          <x:t xml:space="preserve">PT-13</x:t>
        </x:is>
      </x:c>
      <x:c r="B14" s="35" t="inlineStr">
        <x:is>
          <x:t xml:space="preserve">RSC-020, RSC-021</x:t>
        </x:is>
      </x:c>
      <x:c r="C14" s="35" t="inlineStr">
        <x:is>
          <x:t xml:space="preserve">C-042 a C-047</x:t>
        </x:is>
      </x:c>
      <x:c r="D14" s="35" t="inlineStr">
        <x:is>
          <x:t xml:space="preserve">A 5.19, 5.20, 7.2, 7.3, 7.6, 5.25; DOC-006</x:t>
        </x:is>
      </x:c>
      <x:c r="E14" s="36" t="inlineStr">
        <x:is>
          <x:t xml:space="preserve">Jefe de seguridad</x:t>
        </x:is>
      </x:c>
      <x:c r="F14" s="36" t="inlineStr">
        <x:is>
          <x:t xml:space="preserve">4 meses</x:t>
        </x:is>
      </x:c>
      <x:c r="G14" s="36" t="n">
        <x:v>2</x:v>
      </x:c>
      <x:c r="H14" s="36" t="n">
        <x:v>4</x:v>
      </x:c>
      <x:c r="I14" s="36" t="n">
        <x:f>G14*H14</x:f>
        <x:v>8</x:v>
      </x:c>
      <x:c r="J14" s="36" t="str">
        <x:f>IF(I14&gt;=12,"Crítico",IF(I14&gt;=6,"Alto",IF(I14&gt;=3,"Moderado","Bajo")))</x:f>
        <x:v>Alto</x:v>
      </x:c>
      <x:c r="K14" s="36" t="inlineStr">
        <x:is>
          <x:t xml:space="preserve">NO INICIADO</x:t>
        </x:is>
      </x:c>
      <x:c r="L14" s="36" t="str">
        <x:v>Residual previsto conservado como hipótesis histórica. Revalidación y aceptación de la revisión pendientes; no acredita reducción efectiva.</x:v>
      </x:c>
      <x:c r="M14" s="36" t="inlineStr">
        <x:is>
          <x:t xml:space="preserve">Acta del Comité de 24/07/2026</x:t>
        </x:is>
      </x:c>
      <x:c r="N14" s="36" t="str">
        <x:v>Aprobación de la revisión pendiente por el propietario del riesgo. La aprobación histórica no se traslada automáticamente.</x:v>
      </x:c>
    </x:row>
    <x:row r="15" s="15" customFormat="1" ht="36" hidden="0" customHeight="1">
      <x:c r="A15" s="36" t="inlineStr">
        <x:is>
          <x:t xml:space="preserve">PT-14</x:t>
        </x:is>
      </x:c>
      <x:c r="B15" s="35" t="inlineStr">
        <x:is>
          <x:t xml:space="preserve">RSC-023</x:t>
        </x:is>
      </x:c>
      <x:c r="C15" s="35" t="inlineStr">
        <x:is>
          <x:t xml:space="preserve">C-048 a C-050</x:t>
        </x:is>
      </x:c>
      <x:c r="D15" s="35" t="inlineStr">
        <x:is>
          <x:t xml:space="preserve">A 5.9, 5.12, 5.15, 5.33, 7.7, 7.10</x:t>
        </x:is>
      </x:c>
      <x:c r="E15" s="36" t="inlineStr">
        <x:is>
          <x:t xml:space="preserve">Dirección General</x:t>
        </x:is>
      </x:c>
      <x:c r="F15" s="36" t="inlineStr">
        <x:is>
          <x:t xml:space="preserve">6 meses</x:t>
        </x:is>
      </x:c>
      <x:c r="G15" s="36" t="n">
        <x:v>2</x:v>
      </x:c>
      <x:c r="H15" s="36" t="n">
        <x:v>3</x:v>
      </x:c>
      <x:c r="I15" s="36" t="n">
        <x:f>G15*H15</x:f>
        <x:v>6</x:v>
      </x:c>
      <x:c r="J15" s="36" t="str">
        <x:f>IF(I15&gt;=12,"Crítico",IF(I15&gt;=6,"Alto",IF(I15&gt;=3,"Moderado","Bajo")))</x:f>
        <x:v>Alto</x:v>
      </x:c>
      <x:c r="K15" s="36" t="inlineStr">
        <x:is>
          <x:t xml:space="preserve">NO INICIADO</x:t>
        </x:is>
      </x:c>
      <x:c r="L15" s="36" t="str">
        <x:v>Residual previsto conservado como hipótesis histórica. Revalidación y aceptación de la revisión pendientes; no acredita reducción efectiva.</x:v>
      </x:c>
      <x:c r="M15" s="36" t="inlineStr">
        <x:is>
          <x:t xml:space="preserve">Acta del Comité de 24/07/2026</x:t>
        </x:is>
      </x:c>
      <x:c r="N15" s="36" t="str">
        <x:v>Aprobación de la revisión pendiente por el propietario del riesgo. La aprobación histórica no se traslada automáticamente.</x:v>
      </x:c>
    </x:row>
    <x:row r="16" s="15" customFormat="1" ht="36" hidden="0" customHeight="1">
      <x:c r="A16" s="36" t="inlineStr">
        <x:is>
          <x:t xml:space="preserve">PT-15</x:t>
        </x:is>
      </x:c>
      <x:c r="B16" s="35" t="inlineStr">
        <x:is>
          <x:t xml:space="preserve">RSC-024</x:t>
        </x:is>
      </x:c>
      <x:c r="C16" s="35" t="inlineStr">
        <x:is>
          <x:t xml:space="preserve">C-051, C-052, C-064</x:t>
        </x:is>
      </x:c>
      <x:c r="D16" s="35" t="inlineStr">
        <x:is>
          <x:t xml:space="preserve">A 5.35, 5.22, 8.8, 8.9, 5.9</x:t>
        </x:is>
      </x:c>
      <x:c r="E16" s="36" t="inlineStr">
        <x:is>
          <x:t xml:space="preserve">Dirección General</x:t>
        </x:is>
      </x:c>
      <x:c r="F16" s="36" t="inlineStr">
        <x:is>
          <x:t xml:space="preserve">6 meses</x:t>
        </x:is>
      </x:c>
      <x:c r="G16" s="36" t="n">
        <x:v>2</x:v>
      </x:c>
      <x:c r="H16" s="36" t="n">
        <x:v>3</x:v>
      </x:c>
      <x:c r="I16" s="36" t="n">
        <x:f>G16*H16</x:f>
        <x:v>6</x:v>
      </x:c>
      <x:c r="J16" s="36" t="str">
        <x:f>IF(I16&gt;=12,"Crítico",IF(I16&gt;=6,"Alto",IF(I16&gt;=3,"Moderado","Bajo")))</x:f>
        <x:v>Alto</x:v>
      </x:c>
      <x:c r="K16" s="36" t="inlineStr">
        <x:is>
          <x:t xml:space="preserve">NO INICIADO</x:t>
        </x:is>
      </x:c>
      <x:c r="L16" s="36" t="str">
        <x:v>Residual previsto conservado como hipótesis histórica. Revalidación y aceptación de la revisión pendientes; no acredita reducción efectiva.</x:v>
      </x:c>
      <x:c r="M16" s="36" t="inlineStr">
        <x:is>
          <x:t xml:space="preserve">Acta del Comité de 24/07/2026</x:t>
        </x:is>
      </x:c>
      <x:c r="N16" s="36" t="str">
        <x:v>Aprobación de la revisión pendiente por el propietario del riesgo. La aprobación histórica no se traslada automáticamente.</x:v>
      </x:c>
    </x:row>
    <x:row r="17" s="15" customFormat="1" ht="36" hidden="0" customHeight="1">
      <x:c r="A17" s="36" t="inlineStr">
        <x:is>
          <x:t xml:space="preserve">PT-16</x:t>
        </x:is>
      </x:c>
      <x:c r="B17" s="35" t="inlineStr">
        <x:is>
          <x:t xml:space="preserve">RSC-025</x:t>
        </x:is>
      </x:c>
      <x:c r="C17" s="35" t="inlineStr">
        <x:is>
          <x:t xml:space="preserve">C-053 a C-055</x:t>
        </x:is>
      </x:c>
      <x:c r="D17" s="35" t="inlineStr">
        <x:is>
          <x:t xml:space="preserve">A 5.37, 7.1, 7.2, 8.16</x:t>
        </x:is>
      </x:c>
      <x:c r="E17" s="36" t="inlineStr">
        <x:is>
          <x:t xml:space="preserve">Jefe de seguridad</x:t>
        </x:is>
      </x:c>
      <x:c r="F17" s="36" t="inlineStr">
        <x:is>
          <x:t xml:space="preserve">2 meses</x:t>
        </x:is>
      </x:c>
      <x:c r="G17" s="36" t="n">
        <x:v>2</x:v>
      </x:c>
      <x:c r="H17" s="36" t="n">
        <x:v>4</x:v>
      </x:c>
      <x:c r="I17" s="36" t="n">
        <x:f>G17*H17</x:f>
        <x:v>8</x:v>
      </x:c>
      <x:c r="J17" s="36" t="str">
        <x:f>IF(I17&gt;=12,"Crítico",IF(I17&gt;=6,"Alto",IF(I17&gt;=3,"Moderado","Bajo")))</x:f>
        <x:v>Alto</x:v>
      </x:c>
      <x:c r="K17" s="36" t="inlineStr">
        <x:is>
          <x:t xml:space="preserve">NO INICIADO</x:t>
        </x:is>
      </x:c>
      <x:c r="L17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17" s="36" t="inlineStr">
        <x:is>
          <x:t xml:space="preserve">Acta del Comité de 24/07/2026</x:t>
        </x:is>
      </x:c>
      <x:c r="N17" s="36" t="inlineStr">
        <x:is>
          <x:t xml:space="preserve">Aprobado por Jefe de seguridad — 24/07/2026 (acta del Comité de 24/07/2026)</x:t>
        </x:is>
      </x:c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 s="15" customFormat="1" ht="125" hidden="0" customHeight="1">
      <x:c r="A19" s="29" t="inlineStr">
        <x:is>
          <x:t xml:space="preserve">Nota sobre el riesgo residual. Doce de los dieciséis planes cierran en residual Alto. No es un defecto de la valoración: es la consecuencia de la regla del máximo en un contexto cuyo activo final son personas, tres de ellas menores. Ningún control reduce por debajo de 4 el impacto sobre personas de un escenario de aproximación coactiva; lo que el tratamiento reduce es la probabilidad. Por eso el residual Alto no se acepta por defecto. La aceptación del riesgo residual corresponde al propietario del riesgo, conforme a ISO/IEC 27001 6.1.3 f), que es también quien aprueba el plan (columna «Aprobación del plan por el propietario del riesgo»); sobre ese acto, esta organización añade un requisito más estricto que la norma: todo residual Alto exige además ratificación expresa del Comité, registrada en acta, y es entrada obligatoria de la revisión por la dirección (SGSI-DOC-010 §3.1). Ningún plan admite residual Crítico. Regla de valoración en los planes que agrupan varios escenarios: el residual del plan se valora por el peor de los escenarios que agrupa, con la misma regla del máximo que se aplica al impacto. Es deliberadamente conservador y sobrestima el residual de los escenarios menores del grupo (RSC-007 y RSC-016 en PT-06, RSC-012 en PT-09 y RSC-020 en PT-13); la alternativa —un residual por escenario— multiplicaría las filas del plan sin cambiar ninguna decisión de aceptación.</x:t>
        </x:is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1" ht="75" customHeight="1">
      <x:c r="A21" s="31" t="str">
        <x:v>Revisión 27/09/2026: PT-04 (HD-02), PT-06 (C-060/C-062/C-065 y alcance de C-016/C-019; RSC-014 pendiente), PT-12/PT-13 (HD-09), PT-14/PT-15 (dominios) requieren revalidación. Se conservan las puntuaciones previstas, no como resultado acreditado. Los demás planes conservan sus hipótesis; un dominio no aplicable no reduce por sí mismo el riesgo.</x:v>
      </x:c>
    </x:row>
    <x:row r="22" ht="75" customHeight="1">
      <x:c r="A22" s="31" t="str">
        <x:v>Las actas citadas son referencias narrativas del escenario ficticio; no se han redactado ni aportado como prueba de ejecución o de aprobación de esta revisión.</x:v>
      </x:c>
    </x:row>
  </x:sheetData>
  <x:mergeCells>
    <x:mergeCell ref="A19:N19"/>
  </x:mergeCells>
  <x:pageMargins left="0.4" right="0.4" top="0.55" bottom="0.55" header="0.2" footer="0.2"/>
  <x:pageSetup paperSize="8" orientation="landscape" scale="85" fitToWidth="1" fitToHeight="0"/>
  <x:headerFooter>
    <x:oddFooter>&amp;LSGSIREG001002 v2.0 · Restringida&amp;CPlan de tratamiento&amp;RPágina &amp;P de &amp;N</x:oddFooter>
    <x:oddHeader>&amp;LAtalaya · Revisión documental pendiente de aprobación&amp;R20/09/2026</x:oddHeader>
  </x:headerFooter>
</x:worksheet>
</file>